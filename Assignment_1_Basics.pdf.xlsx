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Ans_1 to 4" sheetId="1" r:id="rId1"/>
    <sheet name="Ans_5" sheetId="2" r:id="rId2"/>
    <sheet name="Ans_6" sheetId="3" r:id="rId3"/>
    <sheet name="Ans_7,8" sheetId="4" r:id="rId4"/>
  </sheet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C14" i="1" l="1"/>
  <c r="J54" i="2"/>
  <c r="J53" i="2"/>
  <c r="J52" i="2"/>
  <c r="J51" i="2"/>
  <c r="J50" i="2"/>
  <c r="J49" i="2"/>
  <c r="J48" i="2"/>
  <c r="J55" i="2" s="1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C23" i="1" l="1"/>
  <c r="C27" i="1"/>
</calcChain>
</file>

<file path=xl/sharedStrings.xml><?xml version="1.0" encoding="utf-8"?>
<sst xmlns="http://schemas.openxmlformats.org/spreadsheetml/2006/main" count="218" uniqueCount="117">
  <si>
    <t>Bicycle</t>
  </si>
  <si>
    <t>Auto-Rickshaw</t>
  </si>
  <si>
    <t xml:space="preserve">Car    </t>
  </si>
  <si>
    <t xml:space="preserve">Vechicle </t>
  </si>
  <si>
    <t>Price</t>
  </si>
  <si>
    <t>Total sale of Car &amp; Bicycle</t>
  </si>
  <si>
    <t>Item A</t>
  </si>
  <si>
    <t>Item B</t>
  </si>
  <si>
    <t>Item C</t>
  </si>
  <si>
    <t xml:space="preserve">Item </t>
  </si>
  <si>
    <t>Sales</t>
  </si>
  <si>
    <t>Average sales of items priced above 100 but less than 300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</si>
  <si>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</si>
  <si>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</si>
  <si>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</si>
  <si>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</si>
  <si>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</si>
  <si>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</si>
  <si>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</si>
  <si>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</si>
  <si>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</si>
  <si>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</si>
  <si>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</si>
  <si>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</si>
  <si>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</si>
  <si>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</si>
  <si>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</si>
  <si>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</si>
  <si>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</si>
  <si>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</si>
  <si>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</si>
  <si>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</si>
  <si>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</si>
  <si>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</si>
  <si>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</si>
  <si>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</si>
  <si>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</si>
  <si>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</si>
  <si>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</si>
  <si>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</si>
  <si>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</si>
  <si>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</si>
  <si>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</si>
  <si>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</si>
  <si>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</si>
  <si>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</si>
  <si>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</si>
  <si>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</si>
  <si>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</si>
  <si>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</si>
  <si>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</si>
  <si>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</si>
  <si>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</si>
  <si>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</si>
  <si>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</si>
  <si>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</si>
  <si>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</si>
  <si>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</si>
  <si>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</si>
  <si>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</si>
  <si>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</si>
  <si>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</si>
  <si>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</si>
  <si>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</si>
  <si>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</si>
  <si>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</si>
  <si>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</si>
  <si>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</si>
  <si>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</si>
  <si>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</si>
  <si>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</si>
  <si>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</si>
  <si>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</si>
  <si>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</si>
  <si>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</si>
  <si>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</si>
  <si>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</si>
  <si>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</si>
  <si>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</si>
  <si>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Row Labels</t>
  </si>
  <si>
    <t>Grand Total</t>
  </si>
  <si>
    <t>Sum of Total Sales</t>
  </si>
  <si>
    <t>Sum of UnitPrice</t>
  </si>
  <si>
    <t>Sum of Quantity</t>
  </si>
  <si>
    <r>
      <rPr>
        <b/>
        <sz val="11"/>
        <color theme="1"/>
        <rFont val="Calibri"/>
        <family val="2"/>
        <scheme val="minor"/>
      </rPr>
      <t>Relative references</t>
    </r>
    <r>
      <rPr>
        <sz val="11"/>
        <color theme="1"/>
        <rFont val="Calibri"/>
        <family val="2"/>
        <scheme val="minor"/>
      </rPr>
      <t xml:space="preserve"> are the standard way spreadsheets work. When you copy a formula, the cell addresses adjust automatically based</t>
    </r>
  </si>
  <si>
    <t xml:space="preserve"> on the distance from the original cell.</t>
  </si>
  <si>
    <t>Total</t>
  </si>
  <si>
    <t>Explain the difference between Relative , Absolute and Mixed Cell Referencing.</t>
  </si>
  <si>
    <t>Ans:1</t>
  </si>
  <si>
    <t>Que:1</t>
  </si>
  <si>
    <t>Que:2</t>
  </si>
  <si>
    <t>Ans:2</t>
  </si>
  <si>
    <t>Write a formula to calculate the total sales of Car and Bicyle only only.</t>
  </si>
  <si>
    <t>equals to SUM(D10,D11)</t>
  </si>
  <si>
    <t>Que:3</t>
  </si>
  <si>
    <t>Ans:3</t>
  </si>
  <si>
    <t>write a formula to calculate the average sales of items priced above 100 but less than 300</t>
  </si>
  <si>
    <t>equals to AVERAGEIFS(E19:E21,D19:D21, "&gt;100" ,D19:D21, "&lt;300" )</t>
  </si>
  <si>
    <t>Count how many customer names are recorded</t>
  </si>
  <si>
    <t>Que:4</t>
  </si>
  <si>
    <t>Ans:4</t>
  </si>
  <si>
    <t>equals to COUNTA(C31:C80)</t>
  </si>
  <si>
    <t>Calculate the Total Sales for each row using a formula</t>
  </si>
  <si>
    <t>Que:5</t>
  </si>
  <si>
    <t>Ans:5</t>
  </si>
  <si>
    <t>equals to (G32*H32)</t>
  </si>
  <si>
    <t>Calculate the total sales of Notebooks in the North region only.</t>
  </si>
  <si>
    <t>Que:6</t>
  </si>
  <si>
    <t>Ans:6</t>
  </si>
  <si>
    <t>Create a column chart showing total sales by product.</t>
  </si>
  <si>
    <t>Insert a line chart showing daily sales trend.</t>
  </si>
  <si>
    <t>Que:8</t>
  </si>
  <si>
    <t>Ans:8</t>
  </si>
  <si>
    <t>Que:7</t>
  </si>
  <si>
    <t>Ans:7</t>
  </si>
  <si>
    <r>
      <t xml:space="preserve"> </t>
    </r>
    <r>
      <rPr>
        <b/>
        <sz val="11"/>
        <color theme="1"/>
        <rFont val="Calibri"/>
        <family val="2"/>
        <scheme val="minor"/>
      </rPr>
      <t>Absolute reference</t>
    </r>
    <r>
      <rPr>
        <sz val="11"/>
        <color theme="1"/>
        <rFont val="Calibri"/>
        <family val="2"/>
        <scheme val="minor"/>
      </rPr>
      <t xml:space="preserve"> stays locked to a specific cell. No matter where you copy the formula, it will always point to the exact same cell address.</t>
    </r>
  </si>
  <si>
    <r>
      <rPr>
        <b/>
        <sz val="11"/>
        <color theme="1"/>
        <rFont val="Calibri"/>
        <family val="2"/>
        <scheme val="minor"/>
      </rPr>
      <t>Mixed reference</t>
    </r>
    <r>
      <rPr>
        <sz val="11"/>
        <color theme="1"/>
        <rFont val="Calibri"/>
        <family val="2"/>
        <scheme val="minor"/>
      </rPr>
      <t xml:space="preserve"> locks either the row or the column, but not both. One part stays fixed while the other part is free to change.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</si>
</sst>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1" fillId="2" borderId="1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ill="1"/>
    <xf numFmtId="0" fontId="0" fillId="0" borderId="1" xfId="0" applyNumberFormat="1" applyFill="1" applyBorder="1"/>
    <xf numFmtId="0" fontId="1" fillId="2" borderId="1" xfId="0" applyFont="1" applyFill="1" applyBorder="1" applyAlignment="1">
      <alignment horizontal="left" indent="1"/>
    </xf>
    <xf numFmtId="0" fontId="1" fillId="2" borderId="1" xfId="0" applyNumberFormat="1" applyFont="1" applyFill="1" applyBorder="1"/>
    <xf numFmtId="0" fontId="0" fillId="3" borderId="0" xfId="0" applyFill="1"/>
    <xf numFmtId="0" fontId="0" fillId="0" borderId="0" xfId="0" applyFill="1" applyBorder="1"/>
    <xf numFmtId="0" fontId="4" fillId="0" borderId="0" xfId="0" applyFont="1" applyFill="1"/>
    <xf numFmtId="0" fontId="1" fillId="2" borderId="0" xfId="0" applyFont="1" applyFill="1"/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14" fontId="3" fillId="0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32"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[Assignment_1_Basics.pdf.xlsx]Ans_6!PivotTable2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Ans_6!$E$4</c:f>
              <c:strCache>
                <c:ptCount val="1"/>
                <c:pt idx="0">
                  <c:v>Sum of Total Sales</c:v>
                </c:pt>
              </c:strCache>
            </c:strRef>
          </c:tx>
          <c:invertIfNegative val="0"/>
          <c:cat>
            <c:multiLvlStrRef>
              <c:f>Ans_6!$D$5:$D$14</c:f>
              <c:multiLvlStrCache>
                <c:ptCount val="8"/>
                <c:lvl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</c:lvl>
                <c:lvl>
                  <c:pt idx="0">
                    <c:v>Eraser</c:v>
                  </c:pt>
                  <c:pt idx="1">
                    <c:v>Marker</c:v>
                  </c:pt>
                  <c:pt idx="2">
                    <c:v>Notebook</c:v>
                  </c:pt>
                  <c:pt idx="6">
                    <c:v>Pen</c:v>
                  </c:pt>
                  <c:pt idx="7">
                    <c:v>Pencil</c:v>
                  </c:pt>
                </c:lvl>
              </c:multiLvlStrCache>
            </c:multiLvlStrRef>
          </c:cat>
          <c:val>
            <c:numRef>
              <c:f>Ans_6!$E$5:$E$14</c:f>
              <c:numCache>
                <c:formatCode>General</c:formatCode>
                <c:ptCount val="8"/>
                <c:pt idx="0">
                  <c:v>1928</c:v>
                </c:pt>
                <c:pt idx="1">
                  <c:v>3650</c:v>
                </c:pt>
                <c:pt idx="2">
                  <c:v>800</c:v>
                </c:pt>
                <c:pt idx="3">
                  <c:v>2900</c:v>
                </c:pt>
                <c:pt idx="4">
                  <c:v>2350</c:v>
                </c:pt>
                <c:pt idx="5">
                  <c:v>1500</c:v>
                </c:pt>
                <c:pt idx="6">
                  <c:v>2180</c:v>
                </c:pt>
                <c:pt idx="7">
                  <c:v>1235</c:v>
                </c:pt>
              </c:numCache>
            </c:numRef>
          </c:val>
        </c:ser>
        <c:ser>
          <c:idx val="1"/>
          <c:order val="1"/>
          <c:tx>
            <c:strRef>
              <c:f>Ans_6!$F$4</c:f>
              <c:strCache>
                <c:ptCount val="1"/>
                <c:pt idx="0">
                  <c:v>Sum of UnitPrice</c:v>
                </c:pt>
              </c:strCache>
            </c:strRef>
          </c:tx>
          <c:invertIfNegative val="0"/>
          <c:cat>
            <c:multiLvlStrRef>
              <c:f>Ans_6!$D$5:$D$14</c:f>
              <c:multiLvlStrCache>
                <c:ptCount val="8"/>
                <c:lvl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</c:lvl>
                <c:lvl>
                  <c:pt idx="0">
                    <c:v>Eraser</c:v>
                  </c:pt>
                  <c:pt idx="1">
                    <c:v>Marker</c:v>
                  </c:pt>
                  <c:pt idx="2">
                    <c:v>Notebook</c:v>
                  </c:pt>
                  <c:pt idx="6">
                    <c:v>Pen</c:v>
                  </c:pt>
                  <c:pt idx="7">
                    <c:v>Pencil</c:v>
                  </c:pt>
                </c:lvl>
              </c:multiLvlStrCache>
            </c:multiLvlStrRef>
          </c:cat>
          <c:val>
            <c:numRef>
              <c:f>Ans_6!$F$5:$F$14</c:f>
              <c:numCache>
                <c:formatCode>General</c:formatCode>
                <c:ptCount val="8"/>
                <c:pt idx="0">
                  <c:v>72</c:v>
                </c:pt>
                <c:pt idx="1">
                  <c:v>225</c:v>
                </c:pt>
                <c:pt idx="2">
                  <c:v>50</c:v>
                </c:pt>
                <c:pt idx="3">
                  <c:v>250</c:v>
                </c:pt>
                <c:pt idx="4">
                  <c:v>200</c:v>
                </c:pt>
                <c:pt idx="5">
                  <c:v>150</c:v>
                </c:pt>
                <c:pt idx="6">
                  <c:v>100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Ans_6!$G$4</c:f>
              <c:strCache>
                <c:ptCount val="1"/>
                <c:pt idx="0">
                  <c:v>Sum of Quantity</c:v>
                </c:pt>
              </c:strCache>
            </c:strRef>
          </c:tx>
          <c:invertIfNegative val="0"/>
          <c:cat>
            <c:multiLvlStrRef>
              <c:f>Ans_6!$D$5:$D$14</c:f>
              <c:multiLvlStrCache>
                <c:ptCount val="8"/>
                <c:lvl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</c:lvl>
                <c:lvl>
                  <c:pt idx="0">
                    <c:v>Eraser</c:v>
                  </c:pt>
                  <c:pt idx="1">
                    <c:v>Marker</c:v>
                  </c:pt>
                  <c:pt idx="2">
                    <c:v>Notebook</c:v>
                  </c:pt>
                  <c:pt idx="6">
                    <c:v>Pen</c:v>
                  </c:pt>
                  <c:pt idx="7">
                    <c:v>Pencil</c:v>
                  </c:pt>
                </c:lvl>
              </c:multiLvlStrCache>
            </c:multiLvlStrRef>
          </c:cat>
          <c:val>
            <c:numRef>
              <c:f>Ans_6!$G$5:$G$14</c:f>
              <c:numCache>
                <c:formatCode>General</c:formatCode>
                <c:ptCount val="8"/>
                <c:pt idx="0">
                  <c:v>241</c:v>
                </c:pt>
                <c:pt idx="1">
                  <c:v>146</c:v>
                </c:pt>
                <c:pt idx="2">
                  <c:v>16</c:v>
                </c:pt>
                <c:pt idx="3">
                  <c:v>58</c:v>
                </c:pt>
                <c:pt idx="4">
                  <c:v>47</c:v>
                </c:pt>
                <c:pt idx="5">
                  <c:v>30</c:v>
                </c:pt>
                <c:pt idx="6">
                  <c:v>218</c:v>
                </c:pt>
                <c:pt idx="7">
                  <c:v>247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417344"/>
        <c:axId val="231418880"/>
      </c:barChart>
      <c:catAx>
        <c:axId val="23141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1418880"/>
        <c:crosses val="autoZero"/>
        <c:auto val="1"/>
        <c:lblAlgn val="ctr"/>
        <c:lblOffset val="100"/>
        <c:noMultiLvlLbl val="0"/>
      </c:catAx>
      <c:valAx>
        <c:axId val="23141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41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Ans_5!$J$4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numRef>
              <c:f>Ans_5!$I$5:$I$54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Ans_5!$J$5:$J$54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32672"/>
        <c:axId val="139362688"/>
      </c:lineChart>
      <c:dateAx>
        <c:axId val="137132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9362688"/>
        <c:crosses val="autoZero"/>
        <c:auto val="1"/>
        <c:lblOffset val="100"/>
        <c:baseTimeUnit val="days"/>
      </c:dateAx>
      <c:valAx>
        <c:axId val="13936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132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11722</xdr:colOff>
      <xdr:row>3</xdr:row>
      <xdr:rowOff>13722</xdr:rowOff>
    </xdr:from>
    <xdr:to>
      <xdr:col>12</xdr:col>
      <xdr:colOff>590550</xdr:colOff>
      <xdr:row>21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131934</xdr:colOff>
      <xdr:row>27</xdr:row>
      <xdr:rowOff>8204</xdr:rowOff>
    </xdr:from>
    <xdr:to>
      <xdr:col>12</xdr:col>
      <xdr:colOff>219075</xdr:colOff>
      <xdr:row>44</xdr:row>
      <xdr:rowOff>9526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nakshi" refreshedDate="46034.634989004633" createdVersion="4" refreshedVersion="4" minRefreshableVersion="3" recordCount="50">
  <cacheSource type="worksheet">
    <worksheetSource ref="C1:J27" sheet="Ans_1 to 4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s v="Amit Sharma"/>
    <x v="0"/>
    <x v="0"/>
    <n v="10"/>
    <n v="50"/>
    <d v="2024-01-05T00:00:00"/>
    <n v="500"/>
  </r>
  <r>
    <n v="1002"/>
    <s v="Neha Verma"/>
    <x v="1"/>
    <x v="1"/>
    <n v="20"/>
    <n v="10"/>
    <d v="2024-01-06T00:00:00"/>
    <n v="200"/>
  </r>
  <r>
    <n v="1003"/>
    <s v="Rahul Singh"/>
    <x v="2"/>
    <x v="2"/>
    <n v="15"/>
    <n v="25"/>
    <d v="2024-01-07T00:00:00"/>
    <n v="375"/>
  </r>
  <r>
    <n v="1004"/>
    <s v="Pooja Mehta"/>
    <x v="3"/>
    <x v="0"/>
    <n v="5"/>
    <n v="50"/>
    <d v="2024-01-08T00:00:00"/>
    <n v="250"/>
  </r>
  <r>
    <n v="1005"/>
    <s v="Ankit Jain"/>
    <x v="0"/>
    <x v="3"/>
    <n v="30"/>
    <n v="5"/>
    <d v="2024-01-10T00:00:00"/>
    <n v="150"/>
  </r>
  <r>
    <n v="1006"/>
    <s v="Sneha Patel"/>
    <x v="1"/>
    <x v="0"/>
    <n v="12"/>
    <n v="50"/>
    <d v="2024-01-11T00:00:00"/>
    <n v="600"/>
  </r>
  <r>
    <n v="1007"/>
    <s v="Vikas Gupta"/>
    <x v="2"/>
    <x v="4"/>
    <n v="25"/>
    <n v="8"/>
    <d v="2024-01-13T00:00:00"/>
    <n v="200"/>
  </r>
  <r>
    <n v="1008"/>
    <s v="Meera Nair"/>
    <x v="3"/>
    <x v="1"/>
    <n v="18"/>
    <n v="10"/>
    <d v="2024-01-15T00:00:00"/>
    <n v="180"/>
  </r>
  <r>
    <n v="1009"/>
    <s v="Anjali Rao"/>
    <x v="0"/>
    <x v="2"/>
    <n v="22"/>
    <n v="25"/>
    <d v="2024-01-17T00:00:00"/>
    <n v="550"/>
  </r>
  <r>
    <n v="1010"/>
    <s v="Manoj Das"/>
    <x v="1"/>
    <x v="0"/>
    <n v="8"/>
    <n v="50"/>
    <d v="2024-01-18T00:00:00"/>
    <n v="400"/>
  </r>
  <r>
    <n v="1011"/>
    <s v="Ritika Sen"/>
    <x v="2"/>
    <x v="3"/>
    <n v="40"/>
    <n v="5"/>
    <d v="2024-01-19T00:00:00"/>
    <n v="200"/>
  </r>
  <r>
    <n v="1012"/>
    <s v="Karan Malhotra"/>
    <x v="3"/>
    <x v="4"/>
    <n v="35"/>
    <n v="8"/>
    <d v="2024-01-20T00:00:00"/>
    <n v="280"/>
  </r>
  <r>
    <n v="1013"/>
    <s v="Aryan Joshi"/>
    <x v="0"/>
    <x v="0"/>
    <n v="14"/>
    <n v="50"/>
    <d v="2024-01-22T00:00:00"/>
    <n v="700"/>
  </r>
  <r>
    <n v="1014"/>
    <s v="Divya Kapoor"/>
    <x v="1"/>
    <x v="1"/>
    <n v="28"/>
    <n v="10"/>
    <d v="2024-01-23T00:00:00"/>
    <n v="280"/>
  </r>
  <r>
    <n v="1015"/>
    <s v="Sahil Arora"/>
    <x v="2"/>
    <x v="2"/>
    <n v="12"/>
    <n v="25"/>
    <d v="2024-01-24T00:00:00"/>
    <n v="300"/>
  </r>
  <r>
    <n v="1016"/>
    <s v="Muskan Jain"/>
    <x v="3"/>
    <x v="3"/>
    <n v="25"/>
    <n v="5"/>
    <d v="2024-01-26T00:00:00"/>
    <n v="125"/>
  </r>
  <r>
    <n v="1017"/>
    <s v="Rohan Gupta"/>
    <x v="0"/>
    <x v="4"/>
    <n v="20"/>
    <n v="8"/>
    <d v="2024-01-28T00:00:00"/>
    <n v="160"/>
  </r>
  <r>
    <n v="1018"/>
    <s v="Nidhi Sharma"/>
    <x v="1"/>
    <x v="0"/>
    <n v="10"/>
    <n v="50"/>
    <d v="2024-01-29T00:00:00"/>
    <n v="500"/>
  </r>
  <r>
    <n v="1019"/>
    <s v="Tarun Verma"/>
    <x v="2"/>
    <x v="1"/>
    <n v="15"/>
    <n v="10"/>
    <d v="2024-01-30T00:00:00"/>
    <n v="150"/>
  </r>
  <r>
    <n v="1020"/>
    <s v="Simran Kaur"/>
    <x v="3"/>
    <x v="2"/>
    <n v="18"/>
    <n v="25"/>
    <d v="2024-02-01T00:00:00"/>
    <n v="450"/>
  </r>
  <r>
    <n v="1021"/>
    <s v="Deepak Rao"/>
    <x v="0"/>
    <x v="0"/>
    <n v="9"/>
    <n v="50"/>
    <d v="2024-02-02T00:00:00"/>
    <n v="450"/>
  </r>
  <r>
    <n v="1022"/>
    <s v="Payal Mehta"/>
    <x v="1"/>
    <x v="3"/>
    <n v="35"/>
    <n v="5"/>
    <d v="2024-02-03T00:00:00"/>
    <n v="175"/>
  </r>
  <r>
    <n v="1023"/>
    <s v="Aditya Singh"/>
    <x v="2"/>
    <x v="4"/>
    <n v="30"/>
    <n v="8"/>
    <d v="2024-02-04T00:00:00"/>
    <n v="240"/>
  </r>
  <r>
    <n v="1024"/>
    <s v="Shreya Nair"/>
    <x v="3"/>
    <x v="0"/>
    <n v="11"/>
    <n v="50"/>
    <d v="2024-02-06T00:00:00"/>
    <n v="550"/>
  </r>
  <r>
    <n v="1025"/>
    <s v="Sanjay Kumar"/>
    <x v="0"/>
    <x v="1"/>
    <n v="14"/>
    <n v="10"/>
    <d v="2024-02-07T00:00:00"/>
    <n v="140"/>
  </r>
  <r>
    <n v="1026"/>
    <s v="Aarti Sharma"/>
    <x v="1"/>
    <x v="2"/>
    <n v="16"/>
    <n v="25"/>
    <d v="2024-02-08T00:00:00"/>
    <n v="400"/>
  </r>
  <r>
    <n v="1027"/>
    <s v="Rajesh Patel"/>
    <x v="2"/>
    <x v="3"/>
    <n v="22"/>
    <n v="5"/>
    <d v="2024-02-09T00:00:00"/>
    <n v="110"/>
  </r>
  <r>
    <n v="1028"/>
    <s v="Preeti Joshi"/>
    <x v="3"/>
    <x v="4"/>
    <n v="27"/>
    <n v="8"/>
    <d v="2024-02-10T00:00:00"/>
    <n v="216"/>
  </r>
  <r>
    <n v="1029"/>
    <s v="Anurag Mishra"/>
    <x v="0"/>
    <x v="0"/>
    <n v="13"/>
    <n v="50"/>
    <d v="2024-02-12T00:00:00"/>
    <n v="650"/>
  </r>
  <r>
    <n v="1030"/>
    <s v="Sanya Kapoor"/>
    <x v="1"/>
    <x v="1"/>
    <n v="32"/>
    <n v="10"/>
    <d v="2024-02-13T00:00:00"/>
    <n v="320"/>
  </r>
  <r>
    <n v="1031"/>
    <s v="Harsh Yadav"/>
    <x v="2"/>
    <x v="2"/>
    <n v="10"/>
    <n v="25"/>
    <d v="2024-02-14T00:00:00"/>
    <n v="250"/>
  </r>
  <r>
    <n v="1032"/>
    <s v="Kajal Rani"/>
    <x v="3"/>
    <x v="3"/>
    <n v="18"/>
    <n v="5"/>
    <d v="2024-02-16T00:00:00"/>
    <n v="90"/>
  </r>
  <r>
    <n v="1033"/>
    <s v="Varun Sharma"/>
    <x v="0"/>
    <x v="4"/>
    <n v="22"/>
    <n v="8"/>
    <d v="2024-02-17T00:00:00"/>
    <n v="176"/>
  </r>
  <r>
    <n v="1034"/>
    <s v="Swati Arora"/>
    <x v="1"/>
    <x v="0"/>
    <n v="17"/>
    <n v="50"/>
    <d v="2024-02-18T00:00:00"/>
    <n v="850"/>
  </r>
  <r>
    <n v="1035"/>
    <s v="Akhil Jain"/>
    <x v="2"/>
    <x v="1"/>
    <n v="19"/>
    <n v="10"/>
    <d v="2024-02-19T00:00:00"/>
    <n v="190"/>
  </r>
  <r>
    <n v="1036"/>
    <s v="Priyanka Das"/>
    <x v="3"/>
    <x v="2"/>
    <n v="15"/>
    <n v="25"/>
    <d v="2024-02-21T00:00:00"/>
    <n v="375"/>
  </r>
  <r>
    <n v="1037"/>
    <s v="Ravi Nair"/>
    <x v="0"/>
    <x v="3"/>
    <n v="28"/>
    <n v="5"/>
    <d v="2024-02-22T00:00:00"/>
    <n v="140"/>
  </r>
  <r>
    <n v="1038"/>
    <s v="Komal Singh"/>
    <x v="1"/>
    <x v="4"/>
    <n v="24"/>
    <n v="8"/>
    <d v="2024-02-23T00:00:00"/>
    <n v="192"/>
  </r>
  <r>
    <n v="1039"/>
    <s v="Ayesha Khan"/>
    <x v="2"/>
    <x v="0"/>
    <n v="16"/>
    <n v="50"/>
    <d v="2024-02-25T00:00:00"/>
    <n v="800"/>
  </r>
  <r>
    <n v="1040"/>
    <s v="Arjun Mehta"/>
    <x v="3"/>
    <x v="1"/>
    <n v="27"/>
    <n v="10"/>
    <d v="2024-02-26T00:00:00"/>
    <n v="270"/>
  </r>
  <r>
    <n v="1041"/>
    <s v="Sonali Gupta"/>
    <x v="0"/>
    <x v="2"/>
    <n v="21"/>
    <n v="25"/>
    <d v="2024-02-27T00:00:00"/>
    <n v="525"/>
  </r>
  <r>
    <n v="1042"/>
    <s v="Neeraj Kapoor"/>
    <x v="1"/>
    <x v="3"/>
    <n v="30"/>
    <n v="5"/>
    <d v="2024-02-28T00:00:00"/>
    <n v="150"/>
  </r>
  <r>
    <n v="1043"/>
    <s v="Shruti Sharma"/>
    <x v="2"/>
    <x v="4"/>
    <n v="26"/>
    <n v="8"/>
    <d v="2024-03-01T00:00:00"/>
    <n v="208"/>
  </r>
  <r>
    <n v="1044"/>
    <s v="Yash Arora"/>
    <x v="3"/>
    <x v="0"/>
    <n v="14"/>
    <n v="50"/>
    <d v="2024-03-02T00:00:00"/>
    <n v="700"/>
  </r>
  <r>
    <n v="1045"/>
    <s v="Manish Das"/>
    <x v="0"/>
    <x v="1"/>
    <n v="20"/>
    <n v="10"/>
    <d v="2024-03-03T00:00:00"/>
    <n v="200"/>
  </r>
  <r>
    <n v="1046"/>
    <s v="Rupal Nair"/>
    <x v="1"/>
    <x v="2"/>
    <n v="17"/>
    <n v="25"/>
    <d v="2024-03-04T00:00:00"/>
    <n v="425"/>
  </r>
  <r>
    <n v="1047"/>
    <s v="Sonia Verma"/>
    <x v="2"/>
    <x v="3"/>
    <n v="19"/>
    <n v="5"/>
    <d v="2024-03-05T00:00:00"/>
    <n v="95"/>
  </r>
  <r>
    <n v="1048"/>
    <s v="Kunal Singh"/>
    <x v="3"/>
    <x v="4"/>
    <n v="32"/>
    <n v="8"/>
    <d v="2024-03-06T00:00:00"/>
    <n v="256"/>
  </r>
  <r>
    <n v="1049"/>
    <s v="Ritika Jain"/>
    <x v="0"/>
    <x v="0"/>
    <n v="12"/>
    <n v="50"/>
    <d v="2024-03-07T00:00:00"/>
    <n v="600"/>
  </r>
  <r>
    <n v="1050"/>
    <s v="Vivek Malhotra"/>
    <x v="1"/>
    <x v="1"/>
    <n v="25"/>
    <n v="10"/>
    <d v="2024-03-08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4:G14" firstHeaderRow="0" firstDataRow="1" firstDataCol="1"/>
  <pivotFields count="8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sd="0" x="4"/>
        <item sd="0" x="2"/>
        <item x="0"/>
        <item sd="0" x="1"/>
        <item sd="0" x="3"/>
        <item t="default"/>
      </items>
    </pivotField>
    <pivotField dataField="1" showAll="0"/>
    <pivotField dataField="1" showAll="0"/>
    <pivotField numFmtId="14" showAll="0"/>
    <pivotField dataField="1" showAll="0"/>
  </pivotFields>
  <rowFields count="2">
    <field x="3"/>
    <field x="2"/>
  </rowFields>
  <rowItems count="10">
    <i>
      <x/>
    </i>
    <i>
      <x v="1"/>
    </i>
    <i>
      <x v="2"/>
    </i>
    <i r="1">
      <x/>
    </i>
    <i r="1">
      <x v="1"/>
    </i>
    <i r="1">
      <x v="2"/>
    </i>
    <i r="1">
      <x v="3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7" baseField="0" baseItem="0"/>
    <dataField name="Sum of UnitPrice" fld="5" baseField="0" baseItem="0"/>
    <dataField name="Sum of Quantity" fld="4" baseField="0" baseItem="0"/>
  </dataFields>
  <formats count="8">
    <format dxfId="26">
      <pivotArea type="all" dataOnly="0" outline="0" fieldPosition="0"/>
    </format>
    <format dxfId="27">
      <pivotArea collapsedLevelsAreSubtotals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28">
      <pivotArea dataOnly="0" labelOnly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29">
      <pivotArea collapsedLevelsAreSubtotals="1" fieldPosition="0">
        <references count="3">
          <reference field="4294967294" count="2" selected="0">
            <x v="1"/>
            <x v="2"/>
          </reference>
          <reference field="2" count="1">
            <x v="1"/>
          </reference>
          <reference field="3" count="1" selected="0">
            <x v="2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2"/>
          </reference>
        </references>
      </pivotArea>
    </format>
    <format dxfId="31">
      <pivotArea dataOnly="0" labelOnly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6"/>
  <sheetViews>
    <sheetView zoomScale="115" zoomScaleNormal="115" workbookViewId="0">
      <selection activeCell="G24" sqref="G24"/>
    </sheetView>
  </sheetViews>
  <sheetFormatPr defaultRowHeight="15" x14ac:dyDescent="0.25"/>
  <cols>
    <col min="3" max="3" width="19" customWidth="1"/>
    <col min="4" max="4" width="23" customWidth="1"/>
    <col min="5" max="5" width="20.42578125" customWidth="1"/>
    <col min="6" max="6" width="19.5703125" customWidth="1"/>
    <col min="7" max="7" width="13.85546875" customWidth="1"/>
    <col min="8" max="8" width="12.28515625" customWidth="1"/>
    <col min="9" max="9" width="14.5703125" customWidth="1"/>
    <col min="10" max="10" width="15.42578125" bestFit="1" customWidth="1"/>
    <col min="12" max="12" width="28.28515625" customWidth="1"/>
    <col min="13" max="13" width="17.28515625" bestFit="1" customWidth="1"/>
    <col min="14" max="14" width="16" bestFit="1" customWidth="1"/>
    <col min="15" max="15" width="15.42578125" bestFit="1" customWidth="1"/>
  </cols>
  <sheetData>
    <row r="2" spans="2:11" x14ac:dyDescent="0.25">
      <c r="B2" s="23" t="s">
        <v>89</v>
      </c>
      <c r="C2" s="23" t="s">
        <v>87</v>
      </c>
      <c r="D2" s="23"/>
      <c r="E2" s="23"/>
      <c r="F2" s="23"/>
    </row>
    <row r="3" spans="2:11" x14ac:dyDescent="0.25">
      <c r="B3" s="5" t="s">
        <v>88</v>
      </c>
      <c r="C3" s="5" t="s">
        <v>84</v>
      </c>
      <c r="D3" s="5"/>
      <c r="E3" s="5"/>
      <c r="F3" s="5"/>
      <c r="G3" s="5"/>
      <c r="H3" s="5"/>
      <c r="I3" s="5"/>
      <c r="J3" s="24"/>
      <c r="K3" s="19"/>
    </row>
    <row r="4" spans="2:11" x14ac:dyDescent="0.25">
      <c r="C4" s="5" t="s">
        <v>85</v>
      </c>
      <c r="D4" s="5"/>
      <c r="E4" s="5"/>
      <c r="F4" s="5"/>
      <c r="G4" s="5"/>
      <c r="H4" s="5"/>
      <c r="I4" s="5"/>
      <c r="J4" s="24"/>
      <c r="K4" s="19"/>
    </row>
    <row r="5" spans="2:11" x14ac:dyDescent="0.25">
      <c r="C5" s="5" t="s">
        <v>115</v>
      </c>
      <c r="D5" s="5"/>
      <c r="E5" s="5"/>
      <c r="F5" s="5"/>
      <c r="G5" s="5"/>
      <c r="H5" s="5"/>
      <c r="I5" s="5"/>
      <c r="J5" s="24"/>
      <c r="K5" s="19"/>
    </row>
    <row r="6" spans="2:11" x14ac:dyDescent="0.25">
      <c r="C6" s="5" t="s">
        <v>116</v>
      </c>
      <c r="D6" s="5"/>
      <c r="E6" s="5"/>
      <c r="F6" s="5"/>
      <c r="G6" s="5"/>
      <c r="H6" s="5"/>
      <c r="I6" s="5"/>
      <c r="J6" s="24"/>
      <c r="K6" s="19"/>
    </row>
    <row r="7" spans="2:11" x14ac:dyDescent="0.25">
      <c r="C7" s="19"/>
      <c r="D7" s="19"/>
      <c r="E7" s="19"/>
      <c r="F7" s="19"/>
      <c r="G7" s="19"/>
      <c r="H7" s="19"/>
      <c r="I7" s="19"/>
      <c r="J7" s="24"/>
      <c r="K7" s="19"/>
    </row>
    <row r="8" spans="2:11" x14ac:dyDescent="0.25">
      <c r="B8" s="23" t="s">
        <v>90</v>
      </c>
      <c r="C8" s="23" t="s">
        <v>92</v>
      </c>
      <c r="D8" s="23"/>
      <c r="E8" s="23"/>
      <c r="F8" s="19"/>
      <c r="G8" s="19"/>
      <c r="H8" s="19"/>
      <c r="I8" s="19"/>
    </row>
    <row r="9" spans="2:11" x14ac:dyDescent="0.25">
      <c r="B9" s="5" t="s">
        <v>91</v>
      </c>
      <c r="C9" s="3" t="s">
        <v>3</v>
      </c>
      <c r="D9" s="3" t="s">
        <v>4</v>
      </c>
    </row>
    <row r="10" spans="2:11" x14ac:dyDescent="0.25">
      <c r="C10" s="4" t="s">
        <v>2</v>
      </c>
      <c r="D10" s="4">
        <v>500000</v>
      </c>
    </row>
    <row r="11" spans="2:11" x14ac:dyDescent="0.25">
      <c r="C11" s="4" t="s">
        <v>0</v>
      </c>
      <c r="D11" s="4">
        <v>10500</v>
      </c>
    </row>
    <row r="12" spans="2:11" x14ac:dyDescent="0.25">
      <c r="C12" s="4" t="s">
        <v>1</v>
      </c>
      <c r="D12" s="4">
        <v>25000</v>
      </c>
    </row>
    <row r="13" spans="2:11" x14ac:dyDescent="0.25">
      <c r="C13" s="2"/>
      <c r="D13" s="2"/>
    </row>
    <row r="14" spans="2:11" x14ac:dyDescent="0.25">
      <c r="C14" s="6">
        <f>SUM(D10,D11)</f>
        <v>510500</v>
      </c>
      <c r="D14" s="1" t="s">
        <v>93</v>
      </c>
    </row>
    <row r="15" spans="2:11" x14ac:dyDescent="0.25">
      <c r="C15" t="s">
        <v>5</v>
      </c>
    </row>
    <row r="17" spans="2:7" x14ac:dyDescent="0.25">
      <c r="B17" s="23" t="s">
        <v>94</v>
      </c>
      <c r="C17" s="23" t="s">
        <v>96</v>
      </c>
      <c r="D17" s="23"/>
      <c r="E17" s="23"/>
      <c r="F17" s="23"/>
    </row>
    <row r="18" spans="2:7" x14ac:dyDescent="0.25">
      <c r="B18" s="5" t="s">
        <v>95</v>
      </c>
      <c r="C18" s="3" t="s">
        <v>9</v>
      </c>
      <c r="D18" s="3" t="s">
        <v>4</v>
      </c>
      <c r="E18" s="3" t="s">
        <v>10</v>
      </c>
    </row>
    <row r="19" spans="2:7" x14ac:dyDescent="0.25">
      <c r="C19" s="4" t="s">
        <v>6</v>
      </c>
      <c r="D19" s="4">
        <v>90</v>
      </c>
      <c r="E19" s="4">
        <v>1000</v>
      </c>
    </row>
    <row r="20" spans="2:7" x14ac:dyDescent="0.25">
      <c r="C20" s="4" t="s">
        <v>7</v>
      </c>
      <c r="D20" s="4">
        <v>150</v>
      </c>
      <c r="E20" s="4">
        <v>1200</v>
      </c>
      <c r="G20" s="18"/>
    </row>
    <row r="21" spans="2:7" x14ac:dyDescent="0.25">
      <c r="C21" s="4" t="s">
        <v>8</v>
      </c>
      <c r="D21" s="4">
        <v>250</v>
      </c>
      <c r="E21" s="4">
        <v>1500</v>
      </c>
    </row>
    <row r="22" spans="2:7" x14ac:dyDescent="0.25">
      <c r="C22" s="2"/>
      <c r="D22" s="2"/>
      <c r="E22" s="2"/>
    </row>
    <row r="23" spans="2:7" x14ac:dyDescent="0.25">
      <c r="C23" s="6">
        <f>AVERAGEIFS(E19:E21,D19:D21, "&gt;100", D19:D21, "&lt;300")</f>
        <v>1350</v>
      </c>
      <c r="D23" s="1" t="s">
        <v>97</v>
      </c>
    </row>
    <row r="24" spans="2:7" x14ac:dyDescent="0.25">
      <c r="C24" t="s">
        <v>11</v>
      </c>
    </row>
    <row r="26" spans="2:7" x14ac:dyDescent="0.25">
      <c r="B26" s="23" t="s">
        <v>99</v>
      </c>
      <c r="C26" s="23" t="s">
        <v>98</v>
      </c>
      <c r="D26" s="23"/>
    </row>
    <row r="27" spans="2:7" x14ac:dyDescent="0.25">
      <c r="B27" s="5" t="s">
        <v>100</v>
      </c>
      <c r="C27" s="17">
        <f>COUNTA(Ans_5!C5:C54)</f>
        <v>50</v>
      </c>
      <c r="D27" s="1" t="s">
        <v>101</v>
      </c>
    </row>
    <row r="39" spans="17:17" x14ac:dyDescent="0.25">
      <c r="Q39">
        <v>7</v>
      </c>
    </row>
    <row r="83" spans="9:10" x14ac:dyDescent="0.25">
      <c r="I83" s="2"/>
      <c r="J83" s="24"/>
    </row>
    <row r="98" spans="1:7" x14ac:dyDescent="0.25">
      <c r="G98" s="19"/>
    </row>
    <row r="112" spans="1:7" x14ac:dyDescent="0.25">
      <c r="A112" s="19"/>
      <c r="B112" s="19"/>
      <c r="C112" s="19"/>
      <c r="D112" s="19"/>
      <c r="E112" s="19"/>
      <c r="F112" s="19"/>
    </row>
    <row r="113" spans="1:6" x14ac:dyDescent="0.25">
      <c r="A113" s="19"/>
      <c r="B113" s="19"/>
      <c r="C113" s="19"/>
      <c r="D113" s="19"/>
      <c r="E113" s="19"/>
      <c r="F113" s="19"/>
    </row>
    <row r="114" spans="1:6" x14ac:dyDescent="0.25">
      <c r="A114" s="19"/>
      <c r="B114" s="19"/>
      <c r="C114" s="19"/>
      <c r="D114" s="19"/>
      <c r="E114" s="19"/>
      <c r="F114" s="19"/>
    </row>
    <row r="115" spans="1:6" x14ac:dyDescent="0.25">
      <c r="A115" s="19"/>
      <c r="B115" s="19"/>
      <c r="C115" s="19"/>
      <c r="D115" s="19"/>
      <c r="E115" s="19"/>
      <c r="F115" s="19"/>
    </row>
    <row r="116" spans="1:6" x14ac:dyDescent="0.25">
      <c r="A116" s="19"/>
      <c r="B116" s="19"/>
      <c r="C116" s="19"/>
      <c r="D116" s="19"/>
      <c r="E116" s="19"/>
      <c r="F116" s="19"/>
    </row>
  </sheetData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topLeftCell="B1" workbookViewId="0">
      <selection activeCell="R9" sqref="R9"/>
    </sheetView>
  </sheetViews>
  <sheetFormatPr defaultRowHeight="15" x14ac:dyDescent="0.25"/>
  <cols>
    <col min="3" max="3" width="12" customWidth="1"/>
    <col min="4" max="4" width="15.140625" customWidth="1"/>
    <col min="5" max="5" width="12.140625" customWidth="1"/>
    <col min="6" max="6" width="12.5703125" customWidth="1"/>
    <col min="9" max="9" width="16.42578125" customWidth="1"/>
    <col min="10" max="10" width="14.28515625" customWidth="1"/>
    <col min="11" max="11" width="17.42578125" customWidth="1"/>
  </cols>
  <sheetData>
    <row r="1" spans="1:13" x14ac:dyDescent="0.25">
      <c r="C1" s="2"/>
      <c r="D1" s="2"/>
      <c r="E1" s="2"/>
    </row>
    <row r="2" spans="1:13" x14ac:dyDescent="0.25">
      <c r="B2" s="23" t="s">
        <v>103</v>
      </c>
      <c r="C2" s="23" t="s">
        <v>102</v>
      </c>
      <c r="D2" s="23"/>
      <c r="E2" s="23"/>
      <c r="F2" s="23"/>
    </row>
    <row r="3" spans="1:13" x14ac:dyDescent="0.25">
      <c r="A3" s="25"/>
      <c r="C3" s="26" t="s">
        <v>105</v>
      </c>
      <c r="D3" s="5"/>
      <c r="K3" s="2"/>
      <c r="L3" s="2"/>
      <c r="M3" s="2"/>
    </row>
    <row r="4" spans="1:13" ht="30" x14ac:dyDescent="0.25">
      <c r="B4" s="5" t="s">
        <v>104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18</v>
      </c>
      <c r="J4" s="9" t="s">
        <v>78</v>
      </c>
      <c r="K4" s="27"/>
      <c r="L4" s="2"/>
      <c r="M4" s="2"/>
    </row>
    <row r="5" spans="1:13" x14ac:dyDescent="0.25">
      <c r="C5" s="10">
        <v>1001</v>
      </c>
      <c r="D5" s="11" t="s">
        <v>19</v>
      </c>
      <c r="E5" s="11" t="s">
        <v>20</v>
      </c>
      <c r="F5" s="11" t="s">
        <v>21</v>
      </c>
      <c r="G5" s="10">
        <v>10</v>
      </c>
      <c r="H5" s="10">
        <v>50</v>
      </c>
      <c r="I5" s="12">
        <v>45296</v>
      </c>
      <c r="J5" s="7">
        <f>(G5*H5)</f>
        <v>500</v>
      </c>
      <c r="K5" s="29"/>
      <c r="L5" s="2"/>
      <c r="M5" s="2"/>
    </row>
    <row r="6" spans="1:13" x14ac:dyDescent="0.25">
      <c r="C6" s="10">
        <v>1002</v>
      </c>
      <c r="D6" s="11" t="s">
        <v>22</v>
      </c>
      <c r="E6" s="11" t="s">
        <v>23</v>
      </c>
      <c r="F6" s="11" t="s">
        <v>24</v>
      </c>
      <c r="G6" s="10">
        <v>20</v>
      </c>
      <c r="H6" s="10">
        <v>10</v>
      </c>
      <c r="I6" s="12">
        <v>45297</v>
      </c>
      <c r="J6" s="7">
        <f>(G6*H6)</f>
        <v>200</v>
      </c>
      <c r="K6" s="29"/>
      <c r="L6" s="2"/>
      <c r="M6" s="2"/>
    </row>
    <row r="7" spans="1:13" x14ac:dyDescent="0.25">
      <c r="C7" s="10">
        <v>1003</v>
      </c>
      <c r="D7" s="11" t="s">
        <v>25</v>
      </c>
      <c r="E7" s="11" t="s">
        <v>26</v>
      </c>
      <c r="F7" s="11" t="s">
        <v>27</v>
      </c>
      <c r="G7" s="10">
        <v>15</v>
      </c>
      <c r="H7" s="10">
        <v>25</v>
      </c>
      <c r="I7" s="12">
        <v>45298</v>
      </c>
      <c r="J7" s="7">
        <f>(G7*H7)</f>
        <v>375</v>
      </c>
      <c r="K7" s="29"/>
      <c r="L7" s="2"/>
      <c r="M7" s="2"/>
    </row>
    <row r="8" spans="1:13" x14ac:dyDescent="0.25">
      <c r="C8" s="10">
        <v>1004</v>
      </c>
      <c r="D8" s="11" t="s">
        <v>28</v>
      </c>
      <c r="E8" s="11" t="s">
        <v>29</v>
      </c>
      <c r="F8" s="11" t="s">
        <v>21</v>
      </c>
      <c r="G8" s="10">
        <v>5</v>
      </c>
      <c r="H8" s="10">
        <v>50</v>
      </c>
      <c r="I8" s="12">
        <v>45299</v>
      </c>
      <c r="J8" s="7">
        <f>(G8*H8)</f>
        <v>250</v>
      </c>
      <c r="K8" s="29"/>
      <c r="L8" s="2"/>
      <c r="M8" s="2"/>
    </row>
    <row r="9" spans="1:13" x14ac:dyDescent="0.25">
      <c r="C9" s="10">
        <v>1005</v>
      </c>
      <c r="D9" s="11" t="s">
        <v>30</v>
      </c>
      <c r="E9" s="11" t="s">
        <v>20</v>
      </c>
      <c r="F9" s="11" t="s">
        <v>31</v>
      </c>
      <c r="G9" s="10">
        <v>30</v>
      </c>
      <c r="H9" s="10">
        <v>5</v>
      </c>
      <c r="I9" s="12">
        <v>45301</v>
      </c>
      <c r="J9" s="7">
        <f>(G9*H9)</f>
        <v>150</v>
      </c>
      <c r="K9" s="29"/>
      <c r="L9" s="2"/>
      <c r="M9" s="2"/>
    </row>
    <row r="10" spans="1:13" x14ac:dyDescent="0.25">
      <c r="C10" s="10">
        <v>1006</v>
      </c>
      <c r="D10" s="11" t="s">
        <v>32</v>
      </c>
      <c r="E10" s="11" t="s">
        <v>23</v>
      </c>
      <c r="F10" s="11" t="s">
        <v>21</v>
      </c>
      <c r="G10" s="10">
        <v>12</v>
      </c>
      <c r="H10" s="10">
        <v>50</v>
      </c>
      <c r="I10" s="12">
        <v>45302</v>
      </c>
      <c r="J10" s="7">
        <f>(G10*H10)</f>
        <v>600</v>
      </c>
      <c r="K10" s="29"/>
      <c r="L10" s="2"/>
      <c r="M10" s="2"/>
    </row>
    <row r="11" spans="1:13" x14ac:dyDescent="0.25">
      <c r="C11" s="10">
        <v>1007</v>
      </c>
      <c r="D11" s="11" t="s">
        <v>33</v>
      </c>
      <c r="E11" s="11" t="s">
        <v>26</v>
      </c>
      <c r="F11" s="11" t="s">
        <v>34</v>
      </c>
      <c r="G11" s="10">
        <v>25</v>
      </c>
      <c r="H11" s="10">
        <v>8</v>
      </c>
      <c r="I11" s="12">
        <v>45304</v>
      </c>
      <c r="J11" s="7">
        <f>(G11*H11)</f>
        <v>200</v>
      </c>
      <c r="K11" s="29"/>
      <c r="L11" s="2"/>
      <c r="M11" s="2"/>
    </row>
    <row r="12" spans="1:13" x14ac:dyDescent="0.25">
      <c r="C12" s="10">
        <v>1008</v>
      </c>
      <c r="D12" s="11" t="s">
        <v>35</v>
      </c>
      <c r="E12" s="11" t="s">
        <v>29</v>
      </c>
      <c r="F12" s="11" t="s">
        <v>24</v>
      </c>
      <c r="G12" s="10">
        <v>18</v>
      </c>
      <c r="H12" s="10">
        <v>10</v>
      </c>
      <c r="I12" s="12">
        <v>45306</v>
      </c>
      <c r="J12" s="7">
        <f>(G12*H12)</f>
        <v>180</v>
      </c>
      <c r="K12" s="29"/>
      <c r="L12" s="2"/>
      <c r="M12" s="2"/>
    </row>
    <row r="13" spans="1:13" x14ac:dyDescent="0.25">
      <c r="C13" s="10">
        <v>1009</v>
      </c>
      <c r="D13" s="11" t="s">
        <v>36</v>
      </c>
      <c r="E13" s="11" t="s">
        <v>20</v>
      </c>
      <c r="F13" s="11" t="s">
        <v>27</v>
      </c>
      <c r="G13" s="10">
        <v>22</v>
      </c>
      <c r="H13" s="10">
        <v>25</v>
      </c>
      <c r="I13" s="12">
        <v>45308</v>
      </c>
      <c r="J13" s="7">
        <f>(G13*H13)</f>
        <v>550</v>
      </c>
      <c r="K13" s="29"/>
      <c r="L13" s="2"/>
      <c r="M13" s="2"/>
    </row>
    <row r="14" spans="1:13" x14ac:dyDescent="0.25">
      <c r="C14" s="10">
        <v>1010</v>
      </c>
      <c r="D14" s="11" t="s">
        <v>37</v>
      </c>
      <c r="E14" s="11" t="s">
        <v>23</v>
      </c>
      <c r="F14" s="11" t="s">
        <v>21</v>
      </c>
      <c r="G14" s="10">
        <v>8</v>
      </c>
      <c r="H14" s="10">
        <v>50</v>
      </c>
      <c r="I14" s="12">
        <v>45309</v>
      </c>
      <c r="J14" s="7">
        <f>(G14*H14)</f>
        <v>400</v>
      </c>
      <c r="K14" s="29"/>
      <c r="L14" s="2"/>
      <c r="M14" s="2"/>
    </row>
    <row r="15" spans="1:13" x14ac:dyDescent="0.25">
      <c r="C15" s="10">
        <v>1011</v>
      </c>
      <c r="D15" s="11" t="s">
        <v>38</v>
      </c>
      <c r="E15" s="11" t="s">
        <v>26</v>
      </c>
      <c r="F15" s="11" t="s">
        <v>31</v>
      </c>
      <c r="G15" s="10">
        <v>40</v>
      </c>
      <c r="H15" s="10">
        <v>5</v>
      </c>
      <c r="I15" s="12">
        <v>45310</v>
      </c>
      <c r="J15" s="7">
        <f>(G15*H15)</f>
        <v>200</v>
      </c>
      <c r="K15" s="29"/>
      <c r="L15" s="2"/>
      <c r="M15" s="2"/>
    </row>
    <row r="16" spans="1:13" x14ac:dyDescent="0.25">
      <c r="C16" s="10">
        <v>1012</v>
      </c>
      <c r="D16" s="11" t="s">
        <v>39</v>
      </c>
      <c r="E16" s="11" t="s">
        <v>29</v>
      </c>
      <c r="F16" s="11" t="s">
        <v>34</v>
      </c>
      <c r="G16" s="10">
        <v>35</v>
      </c>
      <c r="H16" s="10">
        <v>8</v>
      </c>
      <c r="I16" s="12">
        <v>45311</v>
      </c>
      <c r="J16" s="7">
        <f>(G16*H16)</f>
        <v>280</v>
      </c>
      <c r="K16" s="29"/>
      <c r="L16" s="2"/>
      <c r="M16" s="2"/>
    </row>
    <row r="17" spans="3:13" x14ac:dyDescent="0.25">
      <c r="C17" s="10">
        <v>1013</v>
      </c>
      <c r="D17" s="11" t="s">
        <v>40</v>
      </c>
      <c r="E17" s="11" t="s">
        <v>20</v>
      </c>
      <c r="F17" s="11" t="s">
        <v>21</v>
      </c>
      <c r="G17" s="10">
        <v>14</v>
      </c>
      <c r="H17" s="10">
        <v>50</v>
      </c>
      <c r="I17" s="12">
        <v>45313</v>
      </c>
      <c r="J17" s="7">
        <f>(G17*H17)</f>
        <v>700</v>
      </c>
      <c r="K17" s="29"/>
      <c r="L17" s="2"/>
      <c r="M17" s="2"/>
    </row>
    <row r="18" spans="3:13" x14ac:dyDescent="0.25">
      <c r="C18" s="10">
        <v>1014</v>
      </c>
      <c r="D18" s="11" t="s">
        <v>41</v>
      </c>
      <c r="E18" s="11" t="s">
        <v>23</v>
      </c>
      <c r="F18" s="11" t="s">
        <v>24</v>
      </c>
      <c r="G18" s="10">
        <v>28</v>
      </c>
      <c r="H18" s="10">
        <v>10</v>
      </c>
      <c r="I18" s="12">
        <v>45314</v>
      </c>
      <c r="J18" s="7">
        <f>(G18*H18)</f>
        <v>280</v>
      </c>
      <c r="K18" s="29"/>
      <c r="L18" s="2"/>
      <c r="M18" s="2"/>
    </row>
    <row r="19" spans="3:13" x14ac:dyDescent="0.25">
      <c r="C19" s="10">
        <v>1015</v>
      </c>
      <c r="D19" s="11" t="s">
        <v>42</v>
      </c>
      <c r="E19" s="11" t="s">
        <v>26</v>
      </c>
      <c r="F19" s="11" t="s">
        <v>27</v>
      </c>
      <c r="G19" s="10">
        <v>12</v>
      </c>
      <c r="H19" s="10">
        <v>25</v>
      </c>
      <c r="I19" s="12">
        <v>45315</v>
      </c>
      <c r="J19" s="7">
        <f>(G19*H19)</f>
        <v>300</v>
      </c>
      <c r="K19" s="29"/>
      <c r="L19" s="2"/>
      <c r="M19" s="2"/>
    </row>
    <row r="20" spans="3:13" x14ac:dyDescent="0.25">
      <c r="C20" s="10">
        <v>1016</v>
      </c>
      <c r="D20" s="11" t="s">
        <v>43</v>
      </c>
      <c r="E20" s="11" t="s">
        <v>29</v>
      </c>
      <c r="F20" s="11" t="s">
        <v>31</v>
      </c>
      <c r="G20" s="10">
        <v>25</v>
      </c>
      <c r="H20" s="10">
        <v>5</v>
      </c>
      <c r="I20" s="12">
        <v>45317</v>
      </c>
      <c r="J20" s="7">
        <f>(G20*H20)</f>
        <v>125</v>
      </c>
      <c r="K20" s="29"/>
      <c r="L20" s="2"/>
      <c r="M20" s="2"/>
    </row>
    <row r="21" spans="3:13" x14ac:dyDescent="0.25">
      <c r="C21" s="10">
        <v>1017</v>
      </c>
      <c r="D21" s="11" t="s">
        <v>44</v>
      </c>
      <c r="E21" s="11" t="s">
        <v>20</v>
      </c>
      <c r="F21" s="11" t="s">
        <v>34</v>
      </c>
      <c r="G21" s="10">
        <v>20</v>
      </c>
      <c r="H21" s="10">
        <v>8</v>
      </c>
      <c r="I21" s="12">
        <v>45319</v>
      </c>
      <c r="J21" s="7">
        <f>(G21*H21)</f>
        <v>160</v>
      </c>
      <c r="K21" s="29"/>
      <c r="L21" s="2"/>
      <c r="M21" s="2"/>
    </row>
    <row r="22" spans="3:13" x14ac:dyDescent="0.25">
      <c r="C22" s="10">
        <v>1018</v>
      </c>
      <c r="D22" s="11" t="s">
        <v>45</v>
      </c>
      <c r="E22" s="11" t="s">
        <v>23</v>
      </c>
      <c r="F22" s="11" t="s">
        <v>21</v>
      </c>
      <c r="G22" s="10">
        <v>10</v>
      </c>
      <c r="H22" s="10">
        <v>50</v>
      </c>
      <c r="I22" s="12">
        <v>45320</v>
      </c>
      <c r="J22" s="7">
        <f>(G22*H22)</f>
        <v>500</v>
      </c>
      <c r="K22" s="29"/>
      <c r="L22" s="2"/>
      <c r="M22" s="2"/>
    </row>
    <row r="23" spans="3:13" x14ac:dyDescent="0.25">
      <c r="C23" s="10">
        <v>1019</v>
      </c>
      <c r="D23" s="11" t="s">
        <v>46</v>
      </c>
      <c r="E23" s="11" t="s">
        <v>26</v>
      </c>
      <c r="F23" s="11" t="s">
        <v>24</v>
      </c>
      <c r="G23" s="10">
        <v>15</v>
      </c>
      <c r="H23" s="10">
        <v>10</v>
      </c>
      <c r="I23" s="12">
        <v>45321</v>
      </c>
      <c r="J23" s="7">
        <f>(G23*H23)</f>
        <v>150</v>
      </c>
      <c r="K23" s="29"/>
      <c r="L23" s="2"/>
      <c r="M23" s="2"/>
    </row>
    <row r="24" spans="3:13" x14ac:dyDescent="0.25">
      <c r="C24" s="10">
        <v>1020</v>
      </c>
      <c r="D24" s="11" t="s">
        <v>47</v>
      </c>
      <c r="E24" s="11" t="s">
        <v>29</v>
      </c>
      <c r="F24" s="11" t="s">
        <v>27</v>
      </c>
      <c r="G24" s="10">
        <v>18</v>
      </c>
      <c r="H24" s="10">
        <v>25</v>
      </c>
      <c r="I24" s="12">
        <v>45323</v>
      </c>
      <c r="J24" s="7">
        <f>(G24*H24)</f>
        <v>450</v>
      </c>
      <c r="K24" s="29"/>
      <c r="L24" s="2"/>
      <c r="M24" s="2"/>
    </row>
    <row r="25" spans="3:13" x14ac:dyDescent="0.25">
      <c r="C25" s="10">
        <v>1021</v>
      </c>
      <c r="D25" s="11" t="s">
        <v>48</v>
      </c>
      <c r="E25" s="11" t="s">
        <v>20</v>
      </c>
      <c r="F25" s="11" t="s">
        <v>21</v>
      </c>
      <c r="G25" s="10">
        <v>9</v>
      </c>
      <c r="H25" s="10">
        <v>50</v>
      </c>
      <c r="I25" s="12">
        <v>45324</v>
      </c>
      <c r="J25" s="7">
        <f>(G25*H25)</f>
        <v>450</v>
      </c>
      <c r="K25" s="29"/>
      <c r="L25" s="2"/>
      <c r="M25" s="2"/>
    </row>
    <row r="26" spans="3:13" x14ac:dyDescent="0.25">
      <c r="C26" s="10">
        <v>1022</v>
      </c>
      <c r="D26" s="11" t="s">
        <v>49</v>
      </c>
      <c r="E26" s="11" t="s">
        <v>23</v>
      </c>
      <c r="F26" s="11" t="s">
        <v>31</v>
      </c>
      <c r="G26" s="10">
        <v>35</v>
      </c>
      <c r="H26" s="10">
        <v>5</v>
      </c>
      <c r="I26" s="12">
        <v>45325</v>
      </c>
      <c r="J26" s="7">
        <f>(G26*H26)</f>
        <v>175</v>
      </c>
      <c r="K26" s="29"/>
      <c r="L26" s="2"/>
      <c r="M26" s="2"/>
    </row>
    <row r="27" spans="3:13" x14ac:dyDescent="0.25">
      <c r="C27" s="10">
        <v>1023</v>
      </c>
      <c r="D27" s="11" t="s">
        <v>50</v>
      </c>
      <c r="E27" s="11" t="s">
        <v>26</v>
      </c>
      <c r="F27" s="11" t="s">
        <v>34</v>
      </c>
      <c r="G27" s="10">
        <v>30</v>
      </c>
      <c r="H27" s="10">
        <v>8</v>
      </c>
      <c r="I27" s="12">
        <v>45326</v>
      </c>
      <c r="J27" s="7">
        <f>(G27*H27)</f>
        <v>240</v>
      </c>
      <c r="K27" s="29"/>
      <c r="L27" s="2"/>
      <c r="M27" s="2"/>
    </row>
    <row r="28" spans="3:13" x14ac:dyDescent="0.25">
      <c r="C28" s="10">
        <v>1024</v>
      </c>
      <c r="D28" s="11" t="s">
        <v>51</v>
      </c>
      <c r="E28" s="11" t="s">
        <v>29</v>
      </c>
      <c r="F28" s="11" t="s">
        <v>21</v>
      </c>
      <c r="G28" s="10">
        <v>11</v>
      </c>
      <c r="H28" s="10">
        <v>50</v>
      </c>
      <c r="I28" s="12">
        <v>45328</v>
      </c>
      <c r="J28" s="7">
        <f>(G28*H28)</f>
        <v>550</v>
      </c>
      <c r="K28" s="29"/>
      <c r="L28" s="2"/>
      <c r="M28" s="2"/>
    </row>
    <row r="29" spans="3:13" x14ac:dyDescent="0.25">
      <c r="C29" s="10">
        <v>1025</v>
      </c>
      <c r="D29" s="11" t="s">
        <v>52</v>
      </c>
      <c r="E29" s="11" t="s">
        <v>20</v>
      </c>
      <c r="F29" s="11" t="s">
        <v>24</v>
      </c>
      <c r="G29" s="10">
        <v>14</v>
      </c>
      <c r="H29" s="10">
        <v>10</v>
      </c>
      <c r="I29" s="12">
        <v>45329</v>
      </c>
      <c r="J29" s="7">
        <f>(G29*H29)</f>
        <v>140</v>
      </c>
      <c r="K29" s="29"/>
      <c r="L29" s="2"/>
      <c r="M29" s="2"/>
    </row>
    <row r="30" spans="3:13" x14ac:dyDescent="0.25">
      <c r="C30" s="10">
        <v>1026</v>
      </c>
      <c r="D30" s="11" t="s">
        <v>53</v>
      </c>
      <c r="E30" s="11" t="s">
        <v>23</v>
      </c>
      <c r="F30" s="11" t="s">
        <v>27</v>
      </c>
      <c r="G30" s="10">
        <v>16</v>
      </c>
      <c r="H30" s="10">
        <v>25</v>
      </c>
      <c r="I30" s="12">
        <v>45330</v>
      </c>
      <c r="J30" s="7">
        <f>(G30*H30)</f>
        <v>400</v>
      </c>
      <c r="K30" s="29"/>
      <c r="L30" s="2"/>
      <c r="M30" s="2"/>
    </row>
    <row r="31" spans="3:13" x14ac:dyDescent="0.25">
      <c r="C31" s="10">
        <v>1027</v>
      </c>
      <c r="D31" s="11" t="s">
        <v>54</v>
      </c>
      <c r="E31" s="11" t="s">
        <v>26</v>
      </c>
      <c r="F31" s="11" t="s">
        <v>31</v>
      </c>
      <c r="G31" s="10">
        <v>22</v>
      </c>
      <c r="H31" s="10">
        <v>5</v>
      </c>
      <c r="I31" s="12">
        <v>45331</v>
      </c>
      <c r="J31" s="7">
        <f>(G31*H31)</f>
        <v>110</v>
      </c>
      <c r="K31" s="29"/>
      <c r="L31" s="2"/>
      <c r="M31" s="2"/>
    </row>
    <row r="32" spans="3:13" x14ac:dyDescent="0.25">
      <c r="C32" s="10">
        <v>1028</v>
      </c>
      <c r="D32" s="11" t="s">
        <v>55</v>
      </c>
      <c r="E32" s="11" t="s">
        <v>29</v>
      </c>
      <c r="F32" s="11" t="s">
        <v>34</v>
      </c>
      <c r="G32" s="10">
        <v>27</v>
      </c>
      <c r="H32" s="10">
        <v>8</v>
      </c>
      <c r="I32" s="12">
        <v>45332</v>
      </c>
      <c r="J32" s="7">
        <f>(G32*H32)</f>
        <v>216</v>
      </c>
      <c r="K32" s="29"/>
      <c r="L32" s="2"/>
      <c r="M32" s="2"/>
    </row>
    <row r="33" spans="3:13" x14ac:dyDescent="0.25">
      <c r="C33" s="10">
        <v>1029</v>
      </c>
      <c r="D33" s="11" t="s">
        <v>56</v>
      </c>
      <c r="E33" s="11" t="s">
        <v>20</v>
      </c>
      <c r="F33" s="11" t="s">
        <v>21</v>
      </c>
      <c r="G33" s="10">
        <v>13</v>
      </c>
      <c r="H33" s="10">
        <v>50</v>
      </c>
      <c r="I33" s="12">
        <v>45334</v>
      </c>
      <c r="J33" s="7">
        <f>(G33*H33)</f>
        <v>650</v>
      </c>
      <c r="K33" s="29"/>
      <c r="L33" s="2"/>
      <c r="M33" s="2"/>
    </row>
    <row r="34" spans="3:13" x14ac:dyDescent="0.25">
      <c r="C34" s="10">
        <v>1030</v>
      </c>
      <c r="D34" s="11" t="s">
        <v>57</v>
      </c>
      <c r="E34" s="11" t="s">
        <v>23</v>
      </c>
      <c r="F34" s="11" t="s">
        <v>24</v>
      </c>
      <c r="G34" s="10">
        <v>32</v>
      </c>
      <c r="H34" s="10">
        <v>10</v>
      </c>
      <c r="I34" s="12">
        <v>45335</v>
      </c>
      <c r="J34" s="7">
        <f>(G34*H34)</f>
        <v>320</v>
      </c>
      <c r="K34" s="29"/>
      <c r="L34" s="2"/>
      <c r="M34" s="2"/>
    </row>
    <row r="35" spans="3:13" x14ac:dyDescent="0.25">
      <c r="C35" s="10">
        <v>1031</v>
      </c>
      <c r="D35" s="11" t="s">
        <v>58</v>
      </c>
      <c r="E35" s="11" t="s">
        <v>26</v>
      </c>
      <c r="F35" s="11" t="s">
        <v>27</v>
      </c>
      <c r="G35" s="10">
        <v>10</v>
      </c>
      <c r="H35" s="10">
        <v>25</v>
      </c>
      <c r="I35" s="12">
        <v>45336</v>
      </c>
      <c r="J35" s="7">
        <f>(G35*H35)</f>
        <v>250</v>
      </c>
      <c r="K35" s="29"/>
      <c r="L35" s="2"/>
      <c r="M35" s="2"/>
    </row>
    <row r="36" spans="3:13" x14ac:dyDescent="0.25">
      <c r="C36" s="10">
        <v>1032</v>
      </c>
      <c r="D36" s="11" t="s">
        <v>59</v>
      </c>
      <c r="E36" s="11" t="s">
        <v>29</v>
      </c>
      <c r="F36" s="11" t="s">
        <v>31</v>
      </c>
      <c r="G36" s="10">
        <v>18</v>
      </c>
      <c r="H36" s="10">
        <v>5</v>
      </c>
      <c r="I36" s="12">
        <v>45338</v>
      </c>
      <c r="J36" s="7">
        <f>(G36*H36)</f>
        <v>90</v>
      </c>
      <c r="K36" s="29"/>
      <c r="L36" s="2"/>
      <c r="M36" s="2"/>
    </row>
    <row r="37" spans="3:13" x14ac:dyDescent="0.25">
      <c r="C37" s="10">
        <v>1033</v>
      </c>
      <c r="D37" s="11" t="s">
        <v>60</v>
      </c>
      <c r="E37" s="11" t="s">
        <v>20</v>
      </c>
      <c r="F37" s="11" t="s">
        <v>34</v>
      </c>
      <c r="G37" s="10">
        <v>22</v>
      </c>
      <c r="H37" s="10">
        <v>8</v>
      </c>
      <c r="I37" s="12">
        <v>45339</v>
      </c>
      <c r="J37" s="7">
        <f>(G37*H37)</f>
        <v>176</v>
      </c>
      <c r="K37" s="29"/>
      <c r="L37" s="2"/>
      <c r="M37" s="2"/>
    </row>
    <row r="38" spans="3:13" x14ac:dyDescent="0.25">
      <c r="C38" s="10">
        <v>1034</v>
      </c>
      <c r="D38" s="11" t="s">
        <v>61</v>
      </c>
      <c r="E38" s="11" t="s">
        <v>23</v>
      </c>
      <c r="F38" s="11" t="s">
        <v>21</v>
      </c>
      <c r="G38" s="10">
        <v>17</v>
      </c>
      <c r="H38" s="10">
        <v>50</v>
      </c>
      <c r="I38" s="12">
        <v>45340</v>
      </c>
      <c r="J38" s="7">
        <f>(G38*H38)</f>
        <v>850</v>
      </c>
      <c r="K38" s="29"/>
      <c r="L38" s="2"/>
      <c r="M38" s="2"/>
    </row>
    <row r="39" spans="3:13" x14ac:dyDescent="0.25">
      <c r="C39" s="10">
        <v>1035</v>
      </c>
      <c r="D39" s="11" t="s">
        <v>62</v>
      </c>
      <c r="E39" s="11" t="s">
        <v>26</v>
      </c>
      <c r="F39" s="11" t="s">
        <v>24</v>
      </c>
      <c r="G39" s="10">
        <v>19</v>
      </c>
      <c r="H39" s="10">
        <v>10</v>
      </c>
      <c r="I39" s="12">
        <v>45341</v>
      </c>
      <c r="J39" s="7">
        <f>(G39*H39)</f>
        <v>190</v>
      </c>
      <c r="K39" s="29"/>
      <c r="L39" s="2"/>
      <c r="M39" s="2"/>
    </row>
    <row r="40" spans="3:13" x14ac:dyDescent="0.25">
      <c r="C40" s="10">
        <v>1036</v>
      </c>
      <c r="D40" s="11" t="s">
        <v>63</v>
      </c>
      <c r="E40" s="11" t="s">
        <v>29</v>
      </c>
      <c r="F40" s="11" t="s">
        <v>27</v>
      </c>
      <c r="G40" s="10">
        <v>15</v>
      </c>
      <c r="H40" s="10">
        <v>25</v>
      </c>
      <c r="I40" s="12">
        <v>45343</v>
      </c>
      <c r="J40" s="7">
        <f>(G40*H40)</f>
        <v>375</v>
      </c>
      <c r="K40" s="29"/>
      <c r="L40" s="2"/>
      <c r="M40" s="2"/>
    </row>
    <row r="41" spans="3:13" x14ac:dyDescent="0.25">
      <c r="C41" s="10">
        <v>1037</v>
      </c>
      <c r="D41" s="11" t="s">
        <v>64</v>
      </c>
      <c r="E41" s="11" t="s">
        <v>20</v>
      </c>
      <c r="F41" s="11" t="s">
        <v>31</v>
      </c>
      <c r="G41" s="10">
        <v>28</v>
      </c>
      <c r="H41" s="10">
        <v>5</v>
      </c>
      <c r="I41" s="12">
        <v>45344</v>
      </c>
      <c r="J41" s="7">
        <f>(G41*H41)</f>
        <v>140</v>
      </c>
      <c r="K41" s="29"/>
      <c r="L41" s="2"/>
      <c r="M41" s="2"/>
    </row>
    <row r="42" spans="3:13" x14ac:dyDescent="0.25">
      <c r="C42" s="10">
        <v>1038</v>
      </c>
      <c r="D42" s="11" t="s">
        <v>65</v>
      </c>
      <c r="E42" s="11" t="s">
        <v>23</v>
      </c>
      <c r="F42" s="11" t="s">
        <v>34</v>
      </c>
      <c r="G42" s="10">
        <v>24</v>
      </c>
      <c r="H42" s="10">
        <v>8</v>
      </c>
      <c r="I42" s="12">
        <v>45345</v>
      </c>
      <c r="J42" s="7">
        <f>(G42*H42)</f>
        <v>192</v>
      </c>
      <c r="K42" s="29"/>
      <c r="L42" s="2"/>
      <c r="M42" s="2"/>
    </row>
    <row r="43" spans="3:13" x14ac:dyDescent="0.25">
      <c r="C43" s="10">
        <v>1039</v>
      </c>
      <c r="D43" s="11" t="s">
        <v>66</v>
      </c>
      <c r="E43" s="11" t="s">
        <v>26</v>
      </c>
      <c r="F43" s="11" t="s">
        <v>21</v>
      </c>
      <c r="G43" s="10">
        <v>16</v>
      </c>
      <c r="H43" s="10">
        <v>50</v>
      </c>
      <c r="I43" s="12">
        <v>45347</v>
      </c>
      <c r="J43" s="7">
        <f>(G43*H43)</f>
        <v>800</v>
      </c>
      <c r="K43" s="29"/>
      <c r="L43" s="2"/>
      <c r="M43" s="2"/>
    </row>
    <row r="44" spans="3:13" x14ac:dyDescent="0.25">
      <c r="C44" s="10">
        <v>1040</v>
      </c>
      <c r="D44" s="11" t="s">
        <v>67</v>
      </c>
      <c r="E44" s="11" t="s">
        <v>29</v>
      </c>
      <c r="F44" s="11" t="s">
        <v>24</v>
      </c>
      <c r="G44" s="10">
        <v>27</v>
      </c>
      <c r="H44" s="10">
        <v>10</v>
      </c>
      <c r="I44" s="12">
        <v>45348</v>
      </c>
      <c r="J44" s="7">
        <f>(G44*H44)</f>
        <v>270</v>
      </c>
      <c r="K44" s="29"/>
      <c r="L44" s="2"/>
      <c r="M44" s="2"/>
    </row>
    <row r="45" spans="3:13" x14ac:dyDescent="0.25">
      <c r="C45" s="10">
        <v>1041</v>
      </c>
      <c r="D45" s="11" t="s">
        <v>68</v>
      </c>
      <c r="E45" s="11" t="s">
        <v>20</v>
      </c>
      <c r="F45" s="11" t="s">
        <v>27</v>
      </c>
      <c r="G45" s="10">
        <v>21</v>
      </c>
      <c r="H45" s="10">
        <v>25</v>
      </c>
      <c r="I45" s="12">
        <v>45349</v>
      </c>
      <c r="J45" s="7">
        <f>(G45*H45)</f>
        <v>525</v>
      </c>
      <c r="K45" s="29"/>
      <c r="L45" s="2"/>
      <c r="M45" s="2"/>
    </row>
    <row r="46" spans="3:13" x14ac:dyDescent="0.25">
      <c r="C46" s="10">
        <v>1042</v>
      </c>
      <c r="D46" s="11" t="s">
        <v>69</v>
      </c>
      <c r="E46" s="11" t="s">
        <v>23</v>
      </c>
      <c r="F46" s="11" t="s">
        <v>31</v>
      </c>
      <c r="G46" s="10">
        <v>30</v>
      </c>
      <c r="H46" s="10">
        <v>5</v>
      </c>
      <c r="I46" s="12">
        <v>45350</v>
      </c>
      <c r="J46" s="7">
        <f>(G46*H46)</f>
        <v>150</v>
      </c>
      <c r="K46" s="29"/>
      <c r="L46" s="2"/>
      <c r="M46" s="2"/>
    </row>
    <row r="47" spans="3:13" x14ac:dyDescent="0.25">
      <c r="C47" s="10">
        <v>1043</v>
      </c>
      <c r="D47" s="11" t="s">
        <v>70</v>
      </c>
      <c r="E47" s="11" t="s">
        <v>26</v>
      </c>
      <c r="F47" s="11" t="s">
        <v>34</v>
      </c>
      <c r="G47" s="10">
        <v>26</v>
      </c>
      <c r="H47" s="10">
        <v>8</v>
      </c>
      <c r="I47" s="12">
        <v>45352</v>
      </c>
      <c r="J47" s="7">
        <f>(G47*H47)</f>
        <v>208</v>
      </c>
      <c r="K47" s="29"/>
      <c r="L47" s="2"/>
      <c r="M47" s="2"/>
    </row>
    <row r="48" spans="3:13" x14ac:dyDescent="0.25">
      <c r="C48" s="10">
        <v>1044</v>
      </c>
      <c r="D48" s="11" t="s">
        <v>71</v>
      </c>
      <c r="E48" s="11" t="s">
        <v>29</v>
      </c>
      <c r="F48" s="11" t="s">
        <v>21</v>
      </c>
      <c r="G48" s="10">
        <v>14</v>
      </c>
      <c r="H48" s="10">
        <v>50</v>
      </c>
      <c r="I48" s="12">
        <v>45353</v>
      </c>
      <c r="J48" s="7">
        <f>(G48*H48)</f>
        <v>700</v>
      </c>
      <c r="K48" s="29"/>
      <c r="L48" s="2"/>
      <c r="M48" s="2"/>
    </row>
    <row r="49" spans="3:13" x14ac:dyDescent="0.25">
      <c r="C49" s="10">
        <v>1045</v>
      </c>
      <c r="D49" s="11" t="s">
        <v>72</v>
      </c>
      <c r="E49" s="11" t="s">
        <v>20</v>
      </c>
      <c r="F49" s="11" t="s">
        <v>24</v>
      </c>
      <c r="G49" s="10">
        <v>20</v>
      </c>
      <c r="H49" s="10">
        <v>10</v>
      </c>
      <c r="I49" s="12">
        <v>45354</v>
      </c>
      <c r="J49" s="7">
        <f>(G49*H49)</f>
        <v>200</v>
      </c>
      <c r="K49" s="29"/>
      <c r="L49" s="2"/>
      <c r="M49" s="2"/>
    </row>
    <row r="50" spans="3:13" x14ac:dyDescent="0.25">
      <c r="C50" s="10">
        <v>1046</v>
      </c>
      <c r="D50" s="11" t="s">
        <v>73</v>
      </c>
      <c r="E50" s="11" t="s">
        <v>23</v>
      </c>
      <c r="F50" s="11" t="s">
        <v>27</v>
      </c>
      <c r="G50" s="10">
        <v>17</v>
      </c>
      <c r="H50" s="10">
        <v>25</v>
      </c>
      <c r="I50" s="12">
        <v>45355</v>
      </c>
      <c r="J50" s="7">
        <f>(G50*H50)</f>
        <v>425</v>
      </c>
      <c r="K50" s="29"/>
      <c r="L50" s="2"/>
      <c r="M50" s="2"/>
    </row>
    <row r="51" spans="3:13" x14ac:dyDescent="0.25">
      <c r="C51" s="10">
        <v>1047</v>
      </c>
      <c r="D51" s="11" t="s">
        <v>74</v>
      </c>
      <c r="E51" s="11" t="s">
        <v>26</v>
      </c>
      <c r="F51" s="11" t="s">
        <v>31</v>
      </c>
      <c r="G51" s="10">
        <v>19</v>
      </c>
      <c r="H51" s="10">
        <v>5</v>
      </c>
      <c r="I51" s="12">
        <v>45356</v>
      </c>
      <c r="J51" s="7">
        <f>(G51*H51)</f>
        <v>95</v>
      </c>
      <c r="K51" s="29"/>
      <c r="L51" s="2"/>
      <c r="M51" s="2"/>
    </row>
    <row r="52" spans="3:13" x14ac:dyDescent="0.25">
      <c r="C52" s="10">
        <v>1048</v>
      </c>
      <c r="D52" s="11" t="s">
        <v>75</v>
      </c>
      <c r="E52" s="11" t="s">
        <v>29</v>
      </c>
      <c r="F52" s="11" t="s">
        <v>34</v>
      </c>
      <c r="G52" s="10">
        <v>32</v>
      </c>
      <c r="H52" s="10">
        <v>8</v>
      </c>
      <c r="I52" s="12">
        <v>45357</v>
      </c>
      <c r="J52" s="7">
        <f>(G52*H52)</f>
        <v>256</v>
      </c>
      <c r="K52" s="29"/>
      <c r="L52" s="2"/>
      <c r="M52" s="2"/>
    </row>
    <row r="53" spans="3:13" x14ac:dyDescent="0.25">
      <c r="C53" s="10">
        <v>1049</v>
      </c>
      <c r="D53" s="11" t="s">
        <v>76</v>
      </c>
      <c r="E53" s="11" t="s">
        <v>20</v>
      </c>
      <c r="F53" s="11" t="s">
        <v>21</v>
      </c>
      <c r="G53" s="10">
        <v>12</v>
      </c>
      <c r="H53" s="10">
        <v>50</v>
      </c>
      <c r="I53" s="12">
        <v>45358</v>
      </c>
      <c r="J53" s="7">
        <f>(G53*H53)</f>
        <v>600</v>
      </c>
      <c r="K53" s="29"/>
      <c r="L53" s="2"/>
      <c r="M53" s="2"/>
    </row>
    <row r="54" spans="3:13" x14ac:dyDescent="0.25">
      <c r="C54" s="10">
        <v>1050</v>
      </c>
      <c r="D54" s="11" t="s">
        <v>77</v>
      </c>
      <c r="E54" s="11" t="s">
        <v>23</v>
      </c>
      <c r="F54" s="11" t="s">
        <v>24</v>
      </c>
      <c r="G54" s="10">
        <v>25</v>
      </c>
      <c r="H54" s="10">
        <v>10</v>
      </c>
      <c r="I54" s="12">
        <v>45359</v>
      </c>
      <c r="J54" s="7">
        <f>(G54*H54)</f>
        <v>250</v>
      </c>
      <c r="K54" s="29"/>
      <c r="L54" s="2"/>
      <c r="M54" s="2"/>
    </row>
    <row r="55" spans="3:13" x14ac:dyDescent="0.25">
      <c r="I55" s="4" t="s">
        <v>86</v>
      </c>
      <c r="J55" s="7">
        <f>SUM(J5:J54)</f>
        <v>16543</v>
      </c>
      <c r="K55" s="2"/>
      <c r="L55" s="2"/>
      <c r="M5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56"/>
  <sheetViews>
    <sheetView topLeftCell="B1" zoomScale="115" zoomScaleNormal="115" workbookViewId="0">
      <selection activeCell="E29" sqref="E29"/>
    </sheetView>
  </sheetViews>
  <sheetFormatPr defaultRowHeight="15" x14ac:dyDescent="0.25"/>
  <cols>
    <col min="2" max="2" width="7" customWidth="1"/>
    <col min="4" max="4" width="13.28515625" customWidth="1"/>
    <col min="5" max="5" width="17.28515625" bestFit="1" customWidth="1"/>
    <col min="6" max="6" width="16" bestFit="1" customWidth="1"/>
    <col min="7" max="7" width="15.42578125" bestFit="1" customWidth="1"/>
    <col min="10" max="10" width="17.85546875" customWidth="1"/>
    <col min="11" max="11" width="7.140625" bestFit="1" customWidth="1"/>
    <col min="12" max="12" width="14.5703125" customWidth="1"/>
    <col min="15" max="15" width="14.85546875" customWidth="1"/>
    <col min="16" max="16" width="14.140625" customWidth="1"/>
  </cols>
  <sheetData>
    <row r="2" spans="3:18" x14ac:dyDescent="0.25">
      <c r="C2" s="23" t="s">
        <v>107</v>
      </c>
      <c r="D2" s="23" t="s">
        <v>106</v>
      </c>
      <c r="E2" s="23"/>
      <c r="F2" s="23"/>
      <c r="G2" s="23"/>
      <c r="H2" s="2"/>
      <c r="I2" s="2"/>
      <c r="J2" s="2"/>
      <c r="K2" s="2"/>
      <c r="L2" s="2"/>
      <c r="M2" s="2"/>
      <c r="N2" s="2"/>
      <c r="O2" s="24"/>
      <c r="P2" s="24"/>
      <c r="Q2" s="24"/>
      <c r="R2" s="2"/>
    </row>
    <row r="3" spans="3:18" x14ac:dyDescent="0.25">
      <c r="H3" s="2"/>
      <c r="I3" s="2"/>
      <c r="J3" s="2"/>
      <c r="K3" s="2"/>
      <c r="L3" s="2"/>
      <c r="M3" s="2"/>
      <c r="N3" s="2"/>
      <c r="O3" s="24"/>
      <c r="P3" s="24"/>
      <c r="Q3" s="24"/>
      <c r="R3" s="2"/>
    </row>
    <row r="4" spans="3:18" ht="18" customHeight="1" x14ac:dyDescent="0.25">
      <c r="C4" s="5" t="s">
        <v>108</v>
      </c>
      <c r="D4" s="13" t="s">
        <v>79</v>
      </c>
      <c r="E4" s="4" t="s">
        <v>81</v>
      </c>
      <c r="F4" s="4" t="s">
        <v>82</v>
      </c>
      <c r="G4" s="4" t="s">
        <v>83</v>
      </c>
      <c r="H4" s="2"/>
      <c r="I4" s="27"/>
      <c r="J4" s="27"/>
      <c r="K4" s="27"/>
      <c r="L4" s="27"/>
      <c r="M4" s="27"/>
      <c r="N4" s="27"/>
      <c r="O4" s="30"/>
      <c r="P4" s="30"/>
      <c r="Q4" s="24"/>
      <c r="R4" s="2"/>
    </row>
    <row r="5" spans="3:18" x14ac:dyDescent="0.25">
      <c r="D5" s="14" t="s">
        <v>34</v>
      </c>
      <c r="E5" s="15">
        <v>1928</v>
      </c>
      <c r="F5" s="15">
        <v>72</v>
      </c>
      <c r="G5" s="15">
        <v>241</v>
      </c>
      <c r="H5" s="2"/>
      <c r="I5" s="28"/>
      <c r="J5" s="29"/>
      <c r="K5" s="29"/>
      <c r="L5" s="29"/>
      <c r="M5" s="28"/>
      <c r="N5" s="28"/>
      <c r="O5" s="31"/>
      <c r="P5" s="24"/>
      <c r="Q5" s="24"/>
      <c r="R5" s="2"/>
    </row>
    <row r="6" spans="3:18" x14ac:dyDescent="0.25">
      <c r="D6" s="14" t="s">
        <v>27</v>
      </c>
      <c r="E6" s="15">
        <v>3650</v>
      </c>
      <c r="F6" s="15">
        <v>225</v>
      </c>
      <c r="G6" s="15">
        <v>146</v>
      </c>
      <c r="H6" s="2"/>
      <c r="I6" s="28"/>
      <c r="J6" s="29"/>
      <c r="K6" s="29"/>
      <c r="L6" s="29"/>
      <c r="M6" s="28"/>
      <c r="N6" s="28"/>
      <c r="O6" s="31"/>
      <c r="P6" s="24"/>
      <c r="Q6" s="24"/>
      <c r="R6" s="2"/>
    </row>
    <row r="7" spans="3:18" x14ac:dyDescent="0.25">
      <c r="D7" s="14" t="s">
        <v>21</v>
      </c>
      <c r="E7" s="15">
        <v>7550</v>
      </c>
      <c r="F7" s="15">
        <v>650</v>
      </c>
      <c r="G7" s="15">
        <v>151</v>
      </c>
      <c r="H7" s="2"/>
      <c r="I7" s="28"/>
      <c r="J7" s="29"/>
      <c r="K7" s="29"/>
      <c r="L7" s="29"/>
      <c r="M7" s="28"/>
      <c r="N7" s="28"/>
      <c r="O7" s="31"/>
      <c r="P7" s="24"/>
      <c r="Q7" s="24"/>
      <c r="R7" s="2"/>
    </row>
    <row r="8" spans="3:18" x14ac:dyDescent="0.25">
      <c r="D8" s="16" t="s">
        <v>26</v>
      </c>
      <c r="E8" s="15">
        <v>800</v>
      </c>
      <c r="F8" s="15">
        <v>50</v>
      </c>
      <c r="G8" s="15">
        <v>16</v>
      </c>
      <c r="H8" s="2"/>
      <c r="I8" s="28"/>
      <c r="J8" s="29"/>
      <c r="K8" s="29"/>
      <c r="L8" s="29"/>
      <c r="M8" s="28"/>
      <c r="N8" s="28"/>
      <c r="O8" s="31"/>
      <c r="P8" s="24"/>
      <c r="Q8" s="24"/>
      <c r="R8" s="2"/>
    </row>
    <row r="9" spans="3:18" x14ac:dyDescent="0.25">
      <c r="D9" s="21" t="s">
        <v>20</v>
      </c>
      <c r="E9" s="22">
        <v>2900</v>
      </c>
      <c r="F9" s="20">
        <v>250</v>
      </c>
      <c r="G9" s="20">
        <v>58</v>
      </c>
      <c r="H9" s="2"/>
      <c r="I9" s="28"/>
      <c r="J9" s="29"/>
      <c r="K9" s="29"/>
      <c r="L9" s="29"/>
      <c r="M9" s="28"/>
      <c r="N9" s="28"/>
      <c r="O9" s="31"/>
      <c r="P9" s="24"/>
      <c r="Q9" s="24"/>
      <c r="R9" s="2"/>
    </row>
    <row r="10" spans="3:18" x14ac:dyDescent="0.25">
      <c r="D10" s="16" t="s">
        <v>23</v>
      </c>
      <c r="E10" s="15">
        <v>2350</v>
      </c>
      <c r="F10" s="15">
        <v>200</v>
      </c>
      <c r="G10" s="15">
        <v>47</v>
      </c>
      <c r="H10" s="2"/>
      <c r="I10" s="28"/>
      <c r="J10" s="29"/>
      <c r="K10" s="29"/>
      <c r="L10" s="29"/>
      <c r="M10" s="28"/>
      <c r="N10" s="28"/>
      <c r="O10" s="31"/>
      <c r="P10" s="24"/>
      <c r="Q10" s="24"/>
      <c r="R10" s="2"/>
    </row>
    <row r="11" spans="3:18" x14ac:dyDescent="0.25">
      <c r="D11" s="16" t="s">
        <v>29</v>
      </c>
      <c r="E11" s="15">
        <v>1500</v>
      </c>
      <c r="F11" s="15">
        <v>150</v>
      </c>
      <c r="G11" s="15">
        <v>30</v>
      </c>
      <c r="H11" s="2"/>
      <c r="I11" s="28"/>
      <c r="J11" s="29"/>
      <c r="K11" s="29"/>
      <c r="L11" s="29"/>
      <c r="M11" s="28"/>
      <c r="N11" s="28"/>
      <c r="O11" s="31"/>
      <c r="P11" s="24"/>
      <c r="Q11" s="24"/>
      <c r="R11" s="2"/>
    </row>
    <row r="12" spans="3:18" x14ac:dyDescent="0.25">
      <c r="D12" s="14" t="s">
        <v>24</v>
      </c>
      <c r="E12" s="15">
        <v>2180</v>
      </c>
      <c r="F12" s="15">
        <v>100</v>
      </c>
      <c r="G12" s="15">
        <v>218</v>
      </c>
      <c r="H12" s="2"/>
      <c r="I12" s="28"/>
      <c r="J12" s="29"/>
      <c r="K12" s="29"/>
      <c r="L12" s="29"/>
      <c r="M12" s="28"/>
      <c r="N12" s="28"/>
      <c r="O12" s="31"/>
      <c r="P12" s="24"/>
      <c r="Q12" s="24"/>
      <c r="R12" s="2"/>
    </row>
    <row r="13" spans="3:18" x14ac:dyDescent="0.25">
      <c r="D13" s="14" t="s">
        <v>31</v>
      </c>
      <c r="E13" s="15">
        <v>1235</v>
      </c>
      <c r="F13" s="15">
        <v>45</v>
      </c>
      <c r="G13" s="15">
        <v>247</v>
      </c>
      <c r="H13" s="2"/>
      <c r="I13" s="28"/>
      <c r="J13" s="29"/>
      <c r="K13" s="29"/>
      <c r="L13" s="29"/>
      <c r="M13" s="28"/>
      <c r="N13" s="28"/>
      <c r="O13" s="31"/>
      <c r="P13" s="24"/>
      <c r="Q13" s="24"/>
      <c r="R13" s="2"/>
    </row>
    <row r="14" spans="3:18" x14ac:dyDescent="0.25">
      <c r="D14" s="14" t="s">
        <v>80</v>
      </c>
      <c r="E14" s="15">
        <v>16543</v>
      </c>
      <c r="F14" s="15">
        <v>1092</v>
      </c>
      <c r="G14" s="15">
        <v>1003</v>
      </c>
      <c r="H14" s="2"/>
      <c r="I14" s="28"/>
      <c r="J14" s="29"/>
      <c r="K14" s="29"/>
      <c r="L14" s="29"/>
      <c r="M14" s="28"/>
      <c r="N14" s="28"/>
      <c r="O14" s="31"/>
      <c r="P14" s="24"/>
      <c r="Q14" s="24"/>
      <c r="R14" s="2"/>
    </row>
    <row r="15" spans="3:18" x14ac:dyDescent="0.25">
      <c r="H15" s="2"/>
      <c r="I15" s="28"/>
      <c r="J15" s="29"/>
      <c r="K15" s="29"/>
      <c r="L15" s="29"/>
      <c r="M15" s="28"/>
      <c r="N15" s="28"/>
      <c r="O15" s="31"/>
      <c r="P15" s="24"/>
      <c r="Q15" s="24"/>
      <c r="R15" s="2"/>
    </row>
    <row r="16" spans="3:18" x14ac:dyDescent="0.25">
      <c r="H16" s="2"/>
      <c r="I16" s="28"/>
      <c r="J16" s="29"/>
      <c r="K16" s="29"/>
      <c r="L16" s="29"/>
      <c r="M16" s="28"/>
      <c r="N16" s="28"/>
      <c r="O16" s="31"/>
      <c r="P16" s="24"/>
      <c r="Q16" s="24"/>
      <c r="R16" s="2"/>
    </row>
    <row r="17" spans="8:18" x14ac:dyDescent="0.25">
      <c r="H17" s="2"/>
      <c r="I17" s="28"/>
      <c r="J17" s="29"/>
      <c r="K17" s="29"/>
      <c r="L17" s="29"/>
      <c r="M17" s="28"/>
      <c r="N17" s="28"/>
      <c r="O17" s="31"/>
      <c r="P17" s="24"/>
      <c r="Q17" s="24"/>
      <c r="R17" s="2"/>
    </row>
    <row r="18" spans="8:18" x14ac:dyDescent="0.25">
      <c r="H18" s="2"/>
      <c r="I18" s="28"/>
      <c r="J18" s="29"/>
      <c r="K18" s="29"/>
      <c r="L18" s="29"/>
      <c r="M18" s="28"/>
      <c r="N18" s="28"/>
      <c r="O18" s="31"/>
      <c r="P18" s="24"/>
      <c r="Q18" s="24"/>
      <c r="R18" s="2"/>
    </row>
    <row r="19" spans="8:18" x14ac:dyDescent="0.25">
      <c r="H19" s="2"/>
      <c r="I19" s="28"/>
      <c r="J19" s="29"/>
      <c r="K19" s="29"/>
      <c r="L19" s="29"/>
      <c r="M19" s="28"/>
      <c r="N19" s="28"/>
      <c r="O19" s="31"/>
      <c r="P19" s="24"/>
      <c r="Q19" s="24"/>
      <c r="R19" s="2"/>
    </row>
    <row r="20" spans="8:18" x14ac:dyDescent="0.25">
      <c r="H20" s="2"/>
      <c r="I20" s="28"/>
      <c r="J20" s="29"/>
      <c r="K20" s="29"/>
      <c r="L20" s="29"/>
      <c r="M20" s="28"/>
      <c r="N20" s="28"/>
      <c r="O20" s="31"/>
      <c r="P20" s="24"/>
      <c r="Q20" s="24"/>
      <c r="R20" s="2"/>
    </row>
    <row r="21" spans="8:18" x14ac:dyDescent="0.25">
      <c r="H21" s="2"/>
      <c r="I21" s="28"/>
      <c r="J21" s="29"/>
      <c r="K21" s="29"/>
      <c r="L21" s="29"/>
      <c r="M21" s="28"/>
      <c r="N21" s="28"/>
      <c r="O21" s="31"/>
      <c r="P21" s="24"/>
      <c r="Q21" s="24"/>
      <c r="R21" s="2"/>
    </row>
    <row r="22" spans="8:18" x14ac:dyDescent="0.25">
      <c r="H22" s="2"/>
      <c r="I22" s="28"/>
      <c r="J22" s="29"/>
      <c r="K22" s="29"/>
      <c r="L22" s="29"/>
      <c r="M22" s="28"/>
      <c r="N22" s="28"/>
      <c r="O22" s="31"/>
      <c r="P22" s="24"/>
      <c r="Q22" s="24"/>
      <c r="R22" s="2"/>
    </row>
    <row r="23" spans="8:18" x14ac:dyDescent="0.25">
      <c r="H23" s="2"/>
      <c r="I23" s="28"/>
      <c r="J23" s="29"/>
      <c r="K23" s="29"/>
      <c r="L23" s="29"/>
      <c r="M23" s="28"/>
      <c r="N23" s="28"/>
      <c r="O23" s="31"/>
      <c r="P23" s="24"/>
      <c r="Q23" s="24"/>
      <c r="R23" s="2"/>
    </row>
    <row r="24" spans="8:18" x14ac:dyDescent="0.25">
      <c r="H24" s="2"/>
      <c r="I24" s="28"/>
      <c r="J24" s="29"/>
      <c r="K24" s="29"/>
      <c r="L24" s="29"/>
      <c r="M24" s="28"/>
      <c r="N24" s="28"/>
      <c r="O24" s="31"/>
      <c r="P24" s="24"/>
      <c r="Q24" s="24"/>
      <c r="R24" s="2"/>
    </row>
    <row r="25" spans="8:18" x14ac:dyDescent="0.25">
      <c r="H25" s="2"/>
      <c r="I25" s="28"/>
      <c r="J25" s="29"/>
      <c r="K25" s="29"/>
      <c r="L25" s="29"/>
      <c r="M25" s="28"/>
      <c r="N25" s="28"/>
      <c r="O25" s="31"/>
      <c r="P25" s="24"/>
      <c r="Q25" s="24"/>
      <c r="R25" s="2"/>
    </row>
    <row r="26" spans="8:18" x14ac:dyDescent="0.25">
      <c r="H26" s="2"/>
      <c r="I26" s="28"/>
      <c r="J26" s="29"/>
      <c r="K26" s="29"/>
      <c r="L26" s="29"/>
      <c r="M26" s="28"/>
      <c r="N26" s="28"/>
      <c r="O26" s="31"/>
      <c r="P26" s="24"/>
      <c r="Q26" s="24"/>
      <c r="R26" s="2"/>
    </row>
    <row r="27" spans="8:18" x14ac:dyDescent="0.25">
      <c r="H27" s="2"/>
      <c r="I27" s="28"/>
      <c r="J27" s="29"/>
      <c r="K27" s="29"/>
      <c r="L27" s="29"/>
      <c r="M27" s="28"/>
      <c r="N27" s="28"/>
      <c r="O27" s="31"/>
      <c r="P27" s="24"/>
      <c r="Q27" s="24"/>
      <c r="R27" s="2"/>
    </row>
    <row r="28" spans="8:18" x14ac:dyDescent="0.25">
      <c r="H28" s="2"/>
      <c r="I28" s="28"/>
      <c r="J28" s="29"/>
      <c r="K28" s="29"/>
      <c r="L28" s="29"/>
      <c r="M28" s="28"/>
      <c r="N28" s="28"/>
      <c r="O28" s="31"/>
      <c r="P28" s="24"/>
      <c r="Q28" s="24"/>
      <c r="R28" s="2"/>
    </row>
    <row r="29" spans="8:18" x14ac:dyDescent="0.25">
      <c r="H29" s="2"/>
      <c r="I29" s="28"/>
      <c r="J29" s="29"/>
      <c r="K29" s="29"/>
      <c r="L29" s="29"/>
      <c r="M29" s="28"/>
      <c r="N29" s="28"/>
      <c r="O29" s="31"/>
      <c r="P29" s="24"/>
      <c r="Q29" s="24"/>
      <c r="R29" s="2"/>
    </row>
    <row r="30" spans="8:18" x14ac:dyDescent="0.25">
      <c r="H30" s="2"/>
      <c r="I30" s="28"/>
      <c r="J30" s="29"/>
      <c r="K30" s="29"/>
      <c r="L30" s="29"/>
      <c r="M30" s="28"/>
      <c r="N30" s="28"/>
      <c r="O30" s="31"/>
      <c r="P30" s="24"/>
      <c r="Q30" s="24"/>
      <c r="R30" s="2"/>
    </row>
    <row r="31" spans="8:18" x14ac:dyDescent="0.25">
      <c r="H31" s="2"/>
      <c r="I31" s="28"/>
      <c r="J31" s="29"/>
      <c r="K31" s="29"/>
      <c r="L31" s="29"/>
      <c r="M31" s="28"/>
      <c r="N31" s="28"/>
      <c r="O31" s="31"/>
      <c r="P31" s="24"/>
      <c r="Q31" s="24"/>
      <c r="R31" s="2"/>
    </row>
    <row r="32" spans="8:18" x14ac:dyDescent="0.25">
      <c r="H32" s="2"/>
      <c r="I32" s="28"/>
      <c r="J32" s="29"/>
      <c r="K32" s="29"/>
      <c r="L32" s="29"/>
      <c r="M32" s="28"/>
      <c r="N32" s="28"/>
      <c r="O32" s="31"/>
      <c r="P32" s="24"/>
      <c r="Q32" s="24"/>
      <c r="R32" s="2"/>
    </row>
    <row r="33" spans="8:18" x14ac:dyDescent="0.25">
      <c r="H33" s="2"/>
      <c r="I33" s="28"/>
      <c r="J33" s="29"/>
      <c r="K33" s="29"/>
      <c r="L33" s="29"/>
      <c r="M33" s="28"/>
      <c r="N33" s="28"/>
      <c r="O33" s="31"/>
      <c r="P33" s="24"/>
      <c r="Q33" s="24"/>
      <c r="R33" s="2"/>
    </row>
    <row r="34" spans="8:18" x14ac:dyDescent="0.25">
      <c r="H34" s="2"/>
      <c r="I34" s="28"/>
      <c r="J34" s="29"/>
      <c r="K34" s="29"/>
      <c r="L34" s="29"/>
      <c r="M34" s="28"/>
      <c r="N34" s="28"/>
      <c r="O34" s="31"/>
      <c r="P34" s="24"/>
      <c r="Q34" s="24"/>
      <c r="R34" s="2"/>
    </row>
    <row r="35" spans="8:18" x14ac:dyDescent="0.25">
      <c r="H35" s="2"/>
      <c r="I35" s="28"/>
      <c r="J35" s="29"/>
      <c r="K35" s="29"/>
      <c r="L35" s="29"/>
      <c r="M35" s="28"/>
      <c r="N35" s="28"/>
      <c r="O35" s="31"/>
      <c r="P35" s="24"/>
      <c r="Q35" s="24"/>
      <c r="R35" s="2"/>
    </row>
    <row r="36" spans="8:18" x14ac:dyDescent="0.25">
      <c r="H36" s="2"/>
      <c r="I36" s="28"/>
      <c r="J36" s="29"/>
      <c r="K36" s="29"/>
      <c r="L36" s="29"/>
      <c r="M36" s="28"/>
      <c r="N36" s="28"/>
      <c r="O36" s="31"/>
      <c r="P36" s="24"/>
      <c r="Q36" s="24"/>
      <c r="R36" s="2"/>
    </row>
    <row r="37" spans="8:18" x14ac:dyDescent="0.25">
      <c r="H37" s="2"/>
      <c r="I37" s="28"/>
      <c r="J37" s="29"/>
      <c r="K37" s="29"/>
      <c r="L37" s="29"/>
      <c r="M37" s="28"/>
      <c r="N37" s="28"/>
      <c r="O37" s="31"/>
      <c r="P37" s="24"/>
      <c r="Q37" s="24"/>
      <c r="R37" s="2"/>
    </row>
    <row r="38" spans="8:18" x14ac:dyDescent="0.25">
      <c r="H38" s="2"/>
      <c r="I38" s="28"/>
      <c r="J38" s="29"/>
      <c r="K38" s="29"/>
      <c r="L38" s="29"/>
      <c r="M38" s="28"/>
      <c r="N38" s="28"/>
      <c r="O38" s="31"/>
      <c r="P38" s="24"/>
      <c r="Q38" s="24"/>
      <c r="R38" s="2"/>
    </row>
    <row r="39" spans="8:18" x14ac:dyDescent="0.25">
      <c r="H39" s="2"/>
      <c r="I39" s="28"/>
      <c r="J39" s="29"/>
      <c r="K39" s="29"/>
      <c r="L39" s="29"/>
      <c r="M39" s="28"/>
      <c r="N39" s="28"/>
      <c r="O39" s="31"/>
      <c r="P39" s="24"/>
      <c r="Q39" s="24"/>
      <c r="R39" s="2"/>
    </row>
    <row r="40" spans="8:18" x14ac:dyDescent="0.25">
      <c r="H40" s="2"/>
      <c r="I40" s="28"/>
      <c r="J40" s="29"/>
      <c r="K40" s="29"/>
      <c r="L40" s="29"/>
      <c r="M40" s="28"/>
      <c r="N40" s="28"/>
      <c r="O40" s="31"/>
      <c r="P40" s="24"/>
      <c r="Q40" s="24"/>
      <c r="R40" s="2"/>
    </row>
    <row r="41" spans="8:18" x14ac:dyDescent="0.25">
      <c r="H41" s="2"/>
      <c r="I41" s="28"/>
      <c r="J41" s="29"/>
      <c r="K41" s="29"/>
      <c r="L41" s="29"/>
      <c r="M41" s="28"/>
      <c r="N41" s="28"/>
      <c r="O41" s="31"/>
      <c r="P41" s="24"/>
      <c r="Q41" s="24"/>
      <c r="R41" s="2"/>
    </row>
    <row r="42" spans="8:18" x14ac:dyDescent="0.25">
      <c r="H42" s="2"/>
      <c r="I42" s="28"/>
      <c r="J42" s="29"/>
      <c r="K42" s="29"/>
      <c r="L42" s="29"/>
      <c r="M42" s="28"/>
      <c r="N42" s="28"/>
      <c r="O42" s="31"/>
      <c r="P42" s="24"/>
      <c r="Q42" s="24"/>
      <c r="R42" s="2"/>
    </row>
    <row r="43" spans="8:18" x14ac:dyDescent="0.25">
      <c r="H43" s="2"/>
      <c r="I43" s="28"/>
      <c r="J43" s="29"/>
      <c r="K43" s="29"/>
      <c r="L43" s="29"/>
      <c r="M43" s="28"/>
      <c r="N43" s="28"/>
      <c r="O43" s="31"/>
      <c r="P43" s="24"/>
      <c r="Q43" s="24"/>
      <c r="R43" s="2"/>
    </row>
    <row r="44" spans="8:18" x14ac:dyDescent="0.25">
      <c r="H44" s="2"/>
      <c r="I44" s="28"/>
      <c r="J44" s="29"/>
      <c r="K44" s="29"/>
      <c r="L44" s="29"/>
      <c r="M44" s="28"/>
      <c r="N44" s="28"/>
      <c r="O44" s="31"/>
      <c r="P44" s="24"/>
      <c r="Q44" s="24"/>
      <c r="R44" s="2"/>
    </row>
    <row r="45" spans="8:18" x14ac:dyDescent="0.25">
      <c r="H45" s="2"/>
      <c r="I45" s="28"/>
      <c r="J45" s="29"/>
      <c r="K45" s="29"/>
      <c r="L45" s="29"/>
      <c r="M45" s="28"/>
      <c r="N45" s="28"/>
      <c r="O45" s="31"/>
      <c r="P45" s="24"/>
      <c r="Q45" s="24"/>
      <c r="R45" s="2"/>
    </row>
    <row r="46" spans="8:18" x14ac:dyDescent="0.25">
      <c r="H46" s="2"/>
      <c r="I46" s="28"/>
      <c r="J46" s="29"/>
      <c r="K46" s="29"/>
      <c r="L46" s="29"/>
      <c r="M46" s="28"/>
      <c r="N46" s="28"/>
      <c r="O46" s="31"/>
      <c r="P46" s="24"/>
      <c r="Q46" s="24"/>
      <c r="R46" s="2"/>
    </row>
    <row r="47" spans="8:18" x14ac:dyDescent="0.25">
      <c r="H47" s="2"/>
      <c r="I47" s="28"/>
      <c r="J47" s="29"/>
      <c r="K47" s="29"/>
      <c r="L47" s="29"/>
      <c r="M47" s="28"/>
      <c r="N47" s="28"/>
      <c r="O47" s="31"/>
      <c r="P47" s="24"/>
      <c r="Q47" s="24"/>
      <c r="R47" s="2"/>
    </row>
    <row r="48" spans="8:18" x14ac:dyDescent="0.25">
      <c r="H48" s="2"/>
      <c r="I48" s="28"/>
      <c r="J48" s="29"/>
      <c r="K48" s="29"/>
      <c r="L48" s="29"/>
      <c r="M48" s="28"/>
      <c r="N48" s="28"/>
      <c r="O48" s="31"/>
      <c r="P48" s="24"/>
      <c r="Q48" s="24"/>
      <c r="R48" s="2"/>
    </row>
    <row r="49" spans="8:18" x14ac:dyDescent="0.25">
      <c r="H49" s="2"/>
      <c r="I49" s="28"/>
      <c r="J49" s="29"/>
      <c r="K49" s="29"/>
      <c r="L49" s="29"/>
      <c r="M49" s="28"/>
      <c r="N49" s="28"/>
      <c r="O49" s="31"/>
      <c r="P49" s="24"/>
      <c r="Q49" s="24"/>
      <c r="R49" s="2"/>
    </row>
    <row r="50" spans="8:18" x14ac:dyDescent="0.25">
      <c r="H50" s="2"/>
      <c r="I50" s="28"/>
      <c r="J50" s="29"/>
      <c r="K50" s="29"/>
      <c r="L50" s="29"/>
      <c r="M50" s="28"/>
      <c r="N50" s="28"/>
      <c r="O50" s="31"/>
      <c r="P50" s="24"/>
      <c r="Q50" s="24"/>
      <c r="R50" s="2"/>
    </row>
    <row r="51" spans="8:18" x14ac:dyDescent="0.25">
      <c r="H51" s="2"/>
      <c r="I51" s="28"/>
      <c r="J51" s="29"/>
      <c r="K51" s="29"/>
      <c r="L51" s="29"/>
      <c r="M51" s="28"/>
      <c r="N51" s="28"/>
      <c r="O51" s="31"/>
      <c r="P51" s="24"/>
      <c r="Q51" s="24"/>
      <c r="R51" s="2"/>
    </row>
    <row r="52" spans="8:18" x14ac:dyDescent="0.25">
      <c r="H52" s="2"/>
      <c r="I52" s="28"/>
      <c r="J52" s="29"/>
      <c r="K52" s="29"/>
      <c r="L52" s="29"/>
      <c r="M52" s="28"/>
      <c r="N52" s="28"/>
      <c r="O52" s="31"/>
      <c r="P52" s="24"/>
      <c r="Q52" s="24"/>
      <c r="R52" s="2"/>
    </row>
    <row r="53" spans="8:18" x14ac:dyDescent="0.25">
      <c r="H53" s="2"/>
      <c r="I53" s="28"/>
      <c r="J53" s="29"/>
      <c r="K53" s="29"/>
      <c r="L53" s="29"/>
      <c r="M53" s="28"/>
      <c r="N53" s="28"/>
      <c r="O53" s="31"/>
      <c r="P53" s="24"/>
      <c r="Q53" s="24"/>
      <c r="R53" s="2"/>
    </row>
    <row r="54" spans="8:18" x14ac:dyDescent="0.25">
      <c r="H54" s="2"/>
      <c r="I54" s="28"/>
      <c r="J54" s="29"/>
      <c r="K54" s="29"/>
      <c r="L54" s="29"/>
      <c r="M54" s="28"/>
      <c r="N54" s="28"/>
      <c r="O54" s="31"/>
      <c r="P54" s="24"/>
      <c r="Q54" s="24"/>
      <c r="R54" s="2"/>
    </row>
    <row r="55" spans="8:18" x14ac:dyDescent="0.25">
      <c r="H55" s="2"/>
      <c r="I55" s="2"/>
      <c r="J55" s="2"/>
      <c r="K55" s="2"/>
      <c r="L55" s="2"/>
      <c r="M55" s="2"/>
      <c r="N55" s="2"/>
      <c r="O55" s="24"/>
      <c r="P55" s="24"/>
      <c r="Q55" s="24"/>
      <c r="R55" s="2"/>
    </row>
    <row r="56" spans="8:18" x14ac:dyDescent="0.25">
      <c r="H56" s="2"/>
      <c r="I56" s="2"/>
      <c r="J56" s="2"/>
      <c r="K56" s="2"/>
      <c r="L56" s="2"/>
      <c r="M56" s="2"/>
      <c r="N56" s="2"/>
      <c r="O56" s="24"/>
      <c r="P56" s="24"/>
      <c r="Q56" s="24"/>
      <c r="R5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7"/>
  <sheetViews>
    <sheetView workbookViewId="0">
      <selection activeCell="D41" sqref="D41"/>
    </sheetView>
  </sheetViews>
  <sheetFormatPr defaultRowHeight="15" x14ac:dyDescent="0.25"/>
  <sheetData>
    <row r="2" spans="3:9" x14ac:dyDescent="0.25">
      <c r="C2" s="23" t="s">
        <v>113</v>
      </c>
      <c r="D2" s="23" t="s">
        <v>109</v>
      </c>
      <c r="E2" s="23"/>
      <c r="F2" s="23"/>
      <c r="G2" s="23"/>
      <c r="H2" s="23"/>
      <c r="I2" s="23"/>
    </row>
    <row r="3" spans="3:9" x14ac:dyDescent="0.25">
      <c r="C3" s="5" t="s">
        <v>114</v>
      </c>
    </row>
    <row r="26" spans="3:8" x14ac:dyDescent="0.25">
      <c r="C26" s="23" t="s">
        <v>111</v>
      </c>
      <c r="D26" s="23" t="s">
        <v>110</v>
      </c>
      <c r="E26" s="23"/>
      <c r="F26" s="23"/>
      <c r="G26" s="23"/>
      <c r="H26" s="23"/>
    </row>
    <row r="27" spans="3:8" x14ac:dyDescent="0.25">
      <c r="C27" s="5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Ans_1 to 4</vt:lpstr>
      <vt:lpstr>Ans_5</vt:lpstr>
      <vt:lpstr>Ans_6</vt:lpstr>
      <vt:lpstr>Ans_7,8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Minakshi</dc:creator>
  <cp:lastModifiedBy>Minakshi</cp:lastModifiedBy>
  <cp:lastPrinted>2026-01-12T17:43:20Z</cp:lastPrinted>
  <dcterms:created xsi:type="dcterms:W3CDTF">2026-01-12T07:35:25Z</dcterms:created>
  <dcterms:modified xsi:type="dcterms:W3CDTF">2026-01-13T12:58:04Z</dcterms:modified>
</cp:coreProperties>
</file>